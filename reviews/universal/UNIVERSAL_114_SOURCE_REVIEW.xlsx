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365cf504c94c13" /></Relationships>
</file>

<file path=xl/workbook.xml><?xml version="1.0" encoding="utf-8"?>
<x:workbook xmlns:x="http://schemas.openxmlformats.org/spreadsheetml/2006/main">
  <x:sheets>
    <x:sheet xmlns:r="http://schemas.openxmlformats.org/officeDocument/2006/relationships" name="Summary" sheetId="1" r:id="R69b1befe29ed4582"/>
    <x:sheet xmlns:r="http://schemas.openxmlformats.org/officeDocument/2006/relationships" name="Review_Index" sheetId="2" r:id="R3a183cec21a24346"/>
    <x:sheet xmlns:r="http://schemas.openxmlformats.org/officeDocument/2006/relationships" name="Identity_Scope" sheetId="3" r:id="R524a34e44efd4697"/>
    <x:sheet xmlns:r="http://schemas.openxmlformats.org/officeDocument/2006/relationships" name="Attack_Coding" sheetId="4" r:id="R69bc3fb18a7941d7"/>
    <x:sheet xmlns:r="http://schemas.openxmlformats.org/officeDocument/2006/relationships" name="Evaluation_Evidence" sheetId="5" r:id="R71ce73da329940cb"/>
    <x:sheet xmlns:r="http://schemas.openxmlformats.org/officeDocument/2006/relationships" name="Corrections" sheetId="6" r:id="Rc812a442fbcb43b6"/>
    <x:sheet xmlns:r="http://schemas.openxmlformats.org/officeDocument/2006/relationships" name="Blockers_Promotions" sheetId="7" r:id="R125895a3c2274636"/>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0"/>
      <x:color rgb="FF1F1F1F"/>
      <x:name val="Carlito"/>
    </x:font>
    <x:font>
      <x:b/>
      <x:sz val="11"/>
      <x:color rgb="FFFFFFFF"/>
      <x:name val="Carlito"/>
    </x:font>
    <x:font>
      <x:sz val="10"/>
      <x:name val="Carlito"/>
    </x:font>
    <x:font>
      <x:b/>
      <x:sz val="11"/>
      <x:name val="Carlito"/>
    </x:font>
    <x:font>
      <x:b/>
      <x:sz val="10"/>
      <x:color rgb="FFFFFFFF"/>
      <x:name val="Carlito"/>
    </x:font>
    <x:font>
      <x:sz val="9"/>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F5F9FD"/>
      </x:patternFill>
    </x:fill>
    <x:fill>
      <x:patternFill patternType="solid">
        <x:fgColor rgb="FFC00000"/>
      </x:patternFill>
    </x:fill>
    <x:fill>
      <x:patternFill patternType="solid">
        <x:fgColor rgb="FFF4B183"/>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6" fillId="2" borderId="1"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cellXfs>
  <x:cellStyles count="1">
    <x:cellStyle name="Normal" xfId="0"/>
  </x:cellStyles>
  <x:dxfs count="7">
    <x:dxf>
      <x:font>
        <x:b/>
        <x:color rgb="FF9C0006"/>
      </x:font>
      <x:fill>
        <x:patternFill patternType="solid">
          <x:bgColor rgb="FFF4CCCC"/>
        </x:patternFill>
      </x:fill>
    </x:dxf>
    <x:dxf>
      <x:fill>
        <x:patternFill patternType="solid">
          <x:bgColor rgb="FFFFF2CC"/>
        </x:patternFill>
      </x:fill>
    </x:dxf>
    <x:dxf>
      <x:font>
        <x:b/>
        <x:color rgb="FF9C0006"/>
      </x:font>
      <x:fill>
        <x:patternFill patternType="solid">
          <x:bgColor rgb="FFF4CCCC"/>
        </x:patternFill>
      </x:fill>
    </x:dxf>
    <x:dxf>
      <x:font>
        <x:b/>
        <x:color rgb="FFC65911"/>
      </x:font>
      <x:fill>
        <x:patternFill patternType="solid">
          <x:bgColor rgb="FFFCE4D6"/>
        </x:patternFill>
      </x:fill>
    </x:dxf>
    <x:dxf>
      <x:fill>
        <x:patternFill patternType="solid">
          <x:bgColor rgb="FFFFF2CC"/>
        </x:patternFill>
      </x:fill>
    </x:dxf>
    <x:dxf>
      <x:font>
        <x:b/>
        <x:color rgb="FF9C0006"/>
      </x:font>
      <x:fill>
        <x:patternFill patternType="solid">
          <x:bgColor rgb="FFF4CCCC"/>
        </x:patternFill>
      </x:fill>
    </x:dxf>
    <x:dxf>
      <x:font>
        <x:b/>
        <x:color rgb="FF006100"/>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0c622aeb5e445e" /><Relationship Type="http://schemas.openxmlformats.org/officeDocument/2006/relationships/theme" Target="/xl/theme/theme1.xml" Id="Rf0fb0dbe70344123" /><Relationship Type="http://schemas.openxmlformats.org/officeDocument/2006/relationships/sharedStrings" Target="/xl/sharedStrings.xml" Id="Rc8093f44343b48d9" /><Relationship Type="http://schemas.openxmlformats.org/officeDocument/2006/relationships/worksheet" Target="/xl/worksheets/sheet1.xml" Id="R69b1befe29ed4582" /><Relationship Type="http://schemas.openxmlformats.org/officeDocument/2006/relationships/worksheet" Target="/xl/worksheets/sheet2.xml" Id="R3a183cec21a24346" /><Relationship Type="http://schemas.openxmlformats.org/officeDocument/2006/relationships/worksheet" Target="/xl/worksheets/sheet3.xml" Id="R524a34e44efd4697" /><Relationship Type="http://schemas.openxmlformats.org/officeDocument/2006/relationships/worksheet" Target="/xl/worksheets/sheet4.xml" Id="R69bc3fb18a7941d7" /><Relationship Type="http://schemas.openxmlformats.org/officeDocument/2006/relationships/worksheet" Target="/xl/worksheets/sheet5.xml" Id="R71ce73da329940cb" /><Relationship Type="http://schemas.openxmlformats.org/officeDocument/2006/relationships/worksheet" Target="/xl/worksheets/sheet6.xml" Id="Rc812a442fbcb43b6" /><Relationship Type="http://schemas.openxmlformats.org/officeDocument/2006/relationships/worksheet" Target="/xl/worksheets/sheet7.xml" Id="R125895a3c2274636"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e79e89aac348c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Review Outcomes</a:t>
            </a:r>
          </a:p>
        </c:rich>
      </c:tx>
      <c:overlay val="0"/>
    </c:title>
    <c:autoTitleDeleted val="0"/>
    <c:plotArea>
      <c:layout/>
      <c:barChart>
        <c:barDir val="col"/>
        <c:varyColors val="0"/>
        <c:ser>
          <c:idx val="0"/>
          <c:order val="0"/>
          <c:tx>
            <c:v>Count</c:v>
          </c:tx>
          <c:cat>
            <c:strRef>
              <c:f>'Summary'!$A$19:$A$21</c:f>
              <c:strCache>
                <c:ptCount val="0"/>
              </c:strCache>
            </c:strRef>
          </c:cat>
          <c:val>
            <c:numRef>
              <c:f>'Summary'!$B$19:$B$21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17</xdr:row>
      <xdr:rowOff>0</xdr:rowOff>
    </xdr:from>
    <xdr:to>
      <xdr:col>8</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e79e89aac348c9"/>
        </a:graphicData>
      </a:graphic>
    </xdr:graphicFrame>
    <xdr:clientData/>
  </xdr:twoCellAnchor>
</xdr:wsDr>
</file>

<file path=xl/tables/table1.xml><?xml version="1.0" encoding="utf-8"?>
<x:table xmlns:x="http://schemas.openxmlformats.org/spreadsheetml/2006/main" id="1" name="ReviewIndexTable" displayName="ReviewIndexTable" ref="A1:T115" headerRowCount="1">
  <x:tableColumns count="20">
    <x:tableColumn id="1" name="Priority"/>
    <x:tableColumn id="2" name="Track"/>
    <x:tableColumn id="3" name="Paper ID"/>
    <x:tableColumn id="4" name="Canonical Title"/>
    <x:tableColumn id="5" name="Venue"/>
    <x:tableColumn id="6" name="Version Status"/>
    <x:tableColumn id="7" name="Identity Verdict"/>
    <x:tableColumn id="8" name="Current Scope"/>
    <x:tableColumn id="9" name="Recommended Scope"/>
    <x:tableColumn id="10" name="Current Category"/>
    <x:tableColumn id="11" name="Recommended Category"/>
    <x:tableColumn id="12" name="Multi-Agent Verdict"/>
    <x:tableColumn id="13" name="Attack Evidence Status"/>
    <x:tableColumn id="14" name="Primary System Failure"/>
    <x:tableColumn id="15" name="Review Outcome"/>
    <x:tableColumn id="16" name="Review Status"/>
    <x:tableColumn id="17" name="Load-Bearing Promotion"/>
    <x:tableColumn id="18" name="Source URL"/>
    <x:tableColumn id="19" name="Category Changed?"/>
    <x:tableColumn id="20" name="Scope Changed?"/>
  </x:tableColumns>
  <x:tableStyleInfo name="TableStyleMedium2" showRowStripes="1"/>
</x:table>
</file>

<file path=xl/tables/table2.xml><?xml version="1.0" encoding="utf-8"?>
<x:table xmlns:x="http://schemas.openxmlformats.org/spreadsheetml/2006/main" id="2" name="IdentityScopeTable" displayName="IdentityScopeTable" ref="A1:O115" headerRowCount="1">
  <x:tableColumns count="15">
    <x:tableColumn id="1" name="Priority"/>
    <x:tableColumn id="2" name="Track"/>
    <x:tableColumn id="3" name="Paper ID"/>
    <x:tableColumn id="4" name="Title"/>
    <x:tableColumn id="5" name="Authors"/>
    <x:tableColumn id="6" name="Year"/>
    <x:tableColumn id="7" name="Venue"/>
    <x:tableColumn id="8" name="DOI"/>
    <x:tableColumn id="9" name="Source URL"/>
    <x:tableColumn id="10" name="Version Status"/>
    <x:tableColumn id="11" name="Identity Verdict"/>
    <x:tableColumn id="12" name="Multi-Agent Boundary"/>
    <x:tableColumn id="13" name="Current Scope"/>
    <x:tableColumn id="14" name="Recommended Scope"/>
    <x:tableColumn id="15" name="Scope Rationale"/>
  </x:tableColumns>
  <x:tableStyleInfo name="TableStyleMedium2" showRowStripes="1"/>
</x:table>
</file>

<file path=xl/tables/table3.xml><?xml version="1.0" encoding="utf-8"?>
<x:table xmlns:x="http://schemas.openxmlformats.org/spreadsheetml/2006/main" id="3" name="AttackCodingTable" displayName="AttackCodingTable" ref="A1:O115" headerRowCount="1">
  <x:tableColumns count="15">
    <x:tableColumn id="1" name="Priority"/>
    <x:tableColumn id="2" name="Paper ID"/>
    <x:tableColumn id="3" name="Current Category"/>
    <x:tableColumn id="4" name="Recommended Category"/>
    <x:tableColumn id="5" name="Secondary Roles"/>
    <x:tableColumn id="6" name="Attack Evidence Status"/>
    <x:tableColumn id="7" name="Attack Role"/>
    <x:tableColumn id="8" name="Attack Instance Coding?"/>
    <x:tableColumn id="9" name="Adversary Position"/>
    <x:tableColumn id="10" name="Capabilities"/>
    <x:tableColumn id="11" name="Preconditions"/>
    <x:tableColumn id="12" name="Mechanism"/>
    <x:tableColumn id="13" name="Attack Surfaces"/>
    <x:tableColumn id="14" name="Primary System Failure"/>
    <x:tableColumn id="15" name="Reported Impact"/>
  </x:tableColumns>
  <x:tableStyleInfo name="TableStyleMedium2" showRowStripes="1"/>
</x:table>
</file>

<file path=xl/tables/table4.xml><?xml version="1.0" encoding="utf-8"?>
<x:table xmlns:x="http://schemas.openxmlformats.org/spreadsheetml/2006/main" id="4" name="EvaluationEvidenceTable" displayName="EvaluationEvidenceTable" ref="A1:O115" headerRowCount="1">
  <x:tableColumns count="15">
    <x:tableColumn id="1" name="Priority"/>
    <x:tableColumn id="2" name="Paper ID"/>
    <x:tableColumn id="3" name="Agent Count / Configuration"/>
    <x:tableColumn id="4" name="Topology"/>
    <x:tableColumn id="5" name="Communication"/>
    <x:tableColumn id="6" name="Baselines"/>
    <x:tableColumn id="7" name="Metric Definition"/>
    <x:tableColumn id="8" name="Unit / Denominator"/>
    <x:tableColumn id="9" name="System-Level Impact Verified"/>
    <x:tableColumn id="10" name="Evidence Locators"/>
    <x:tableColumn id="11" name="Author Claim vs Corpus Interpretation"/>
    <x:tableColumn id="12" name="Limitations / Maturity"/>
    <x:tableColumn id="13" name="Required Corrections"/>
    <x:tableColumn id="14" name="Outcome"/>
    <x:tableColumn id="15" name="Review Status"/>
  </x:tableColumns>
  <x:tableStyleInfo name="TableStyleMedium2" showRowStripes="1"/>
</x:table>
</file>

<file path=xl/tables/table5.xml><?xml version="1.0" encoding="utf-8"?>
<x:table xmlns:x="http://schemas.openxmlformats.org/spreadsheetml/2006/main" id="5" name="CorrectionsTable" displayName="CorrectionsTable" ref="A1:K232" headerRowCount="1">
  <x:tableColumns count="11">
    <x:tableColumn id="1" name="Severity"/>
    <x:tableColumn id="2" name="Priority"/>
    <x:tableColumn id="3" name="Paper ID"/>
    <x:tableColumn id="4" name="Title"/>
    <x:tableColumn id="5" name="Track"/>
    <x:tableColumn id="6" name="Field / Category"/>
    <x:tableColumn id="7" name="Current Coding"/>
    <x:tableColumn id="8" name="Recommended Correction"/>
    <x:tableColumn id="9" name="Rationale"/>
    <x:tableColumn id="10" name="Evidence Source"/>
    <x:tableColumn id="11" name="Author Signoff Required"/>
  </x:tableColumns>
  <x:tableStyleInfo name="TableStyleMedium2" showRowStripes="1"/>
</x:table>
</file>

<file path=xl/tables/table6.xml><?xml version="1.0" encoding="utf-8"?>
<x:table xmlns:x="http://schemas.openxmlformats.org/spreadsheetml/2006/main" id="6" name="BlockersPromotionsTable" displayName="BlockersPromotionsTable" ref="A1:F77" headerRowCount="1">
  <x:tableColumns count="6">
    <x:tableColumn id="1" name="Priority"/>
    <x:tableColumn id="2" name="Paper ID"/>
    <x:tableColumn id="3" name="Title"/>
    <x:tableColumn id="4" name="Type"/>
    <x:tableColumn id="5" name="Outcome / Recommendation"/>
    <x:tableColumn id="6" name="Required 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b3eb6f212f54e18" /></Relationships>
</file>

<file path=xl/worksheets/_rels/sheet2.xml.rels>&#65279;<?xml version="1.0" encoding="utf-8"?><Relationships xmlns="http://schemas.openxmlformats.org/package/2006/relationships"><Relationship Type="http://schemas.openxmlformats.org/officeDocument/2006/relationships/table" Target="/xl/tables/table1.xml" Id="R4f9bbb1f9b5d4d56" /></Relationships>
</file>

<file path=xl/worksheets/_rels/sheet3.xml.rels>&#65279;<?xml version="1.0" encoding="utf-8"?><Relationships xmlns="http://schemas.openxmlformats.org/package/2006/relationships"><Relationship Type="http://schemas.openxmlformats.org/officeDocument/2006/relationships/table" Target="/xl/tables/table2.xml" Id="Rc17dc19765544f90" /></Relationships>
</file>

<file path=xl/worksheets/_rels/sheet4.xml.rels>&#65279;<?xml version="1.0" encoding="utf-8"?><Relationships xmlns="http://schemas.openxmlformats.org/package/2006/relationships"><Relationship Type="http://schemas.openxmlformats.org/officeDocument/2006/relationships/table" Target="/xl/tables/table3.xml" Id="R8e224fe2d3f349da" /></Relationships>
</file>

<file path=xl/worksheets/_rels/sheet5.xml.rels>&#65279;<?xml version="1.0" encoding="utf-8"?><Relationships xmlns="http://schemas.openxmlformats.org/package/2006/relationships"><Relationship Type="http://schemas.openxmlformats.org/officeDocument/2006/relationships/table" Target="/xl/tables/table4.xml" Id="R46c9bf2449724f60" /></Relationships>
</file>

<file path=xl/worksheets/_rels/sheet6.xml.rels>&#65279;<?xml version="1.0" encoding="utf-8"?><Relationships xmlns="http://schemas.openxmlformats.org/package/2006/relationships"><Relationship Type="http://schemas.openxmlformats.org/officeDocument/2006/relationships/table" Target="/xl/tables/table5.xml" Id="Rad90671e427e4f67" /></Relationships>
</file>

<file path=xl/worksheets/_rels/sheet7.xml.rels>&#65279;<?xml version="1.0" encoding="utf-8"?><Relationships xmlns="http://schemas.openxmlformats.org/package/2006/relationships"><Relationship Type="http://schemas.openxmlformats.org/officeDocument/2006/relationships/table" Target="/xl/tables/table6.xml" Id="R6031617f99404a65" /></Relationships>
</file>

<file path=xl/worksheets/sheet1.xml><?xml version="1.0" encoding="utf-8"?>
<x:worksheet xmlns:x="http://schemas.openxmlformats.org/spreadsheetml/2006/main">
  <x:sheetFormatPr defaultRowHeight="15"/>
  <x:cols>
    <x:col min="1" max="1" width="10" hidden="0" customWidth="1"/>
    <x:col min="2" max="2" width="32" hidden="0" customWidth="1"/>
    <x:col min="3" max="3" width="18" hidden="0" customWidth="1"/>
    <x:col min="4" max="4" width="22" hidden="0" customWidth="1"/>
    <x:col min="5" max="5" width="34" hidden="0" customWidth="1"/>
    <x:col min="6" max="6" width="14" hidden="0" customWidth="1"/>
    <x:col min="7" max="7" width="24" hidden="0" customWidth="1"/>
    <x:col min="8" max="8" width="16" hidden="0" customWidth="1"/>
  </x:cols>
  <x:sheetData>
    <x:row r="1" ht="30" customHeight="1">
      <x:c r="A1" s="5" t="str">
        <x:v>Universal Source Review: 114 Papers</x:v>
      </x:c>
      <x:c r="B1" s="5"/>
      <x:c r="C1" s="5"/>
      <x:c r="D1" s="5"/>
      <x:c r="E1" s="5"/>
      <x:c r="F1" s="5"/>
      <x:c r="G1" s="5"/>
      <x:c r="H1" s="5"/>
    </x:row>
    <x:row r="2" ht="32" customHeight="1">
      <x:c r="A2" s="12" t="str">
        <x:v>Assistant source audit only. Every row still requires author or designated-reviewer signoff; no paper was upgraded to human_verified.</x:v>
      </x:c>
      <x:c r="B2" s="12"/>
      <x:c r="C2" s="12"/>
      <x:c r="D2" s="12"/>
      <x:c r="E2" s="12"/>
      <x:c r="F2" s="12"/>
      <x:c r="G2" s="12"/>
      <x:c r="H2" s="12"/>
    </x:row>
    <x:row r="4">
      <x:c r="A4" s="18" t="str">
        <x:v>KPI</x:v>
      </x:c>
      <x:c r="B4" s="18" t="str">
        <x:v>Value</x:v>
      </x:c>
      <x:c r="D4" s="18" t="str">
        <x:v>KPI</x:v>
      </x:c>
      <x:c r="E4" s="18" t="str">
        <x:v>Value</x:v>
      </x:c>
      <x:c r="G4" s="18" t="str">
        <x:v>KPI</x:v>
      </x:c>
      <x:c r="H4" s="18" t="str">
        <x:v>Value</x:v>
      </x:c>
    </x:row>
    <x:row r="5">
      <x:c r="A5" s="23" t="str">
        <x:v>Total papers</x:v>
      </x:c>
      <x:c r="B5" s="23" t="n">
        <x:f>COUNTA(Review_Index!C2:C115)</x:f>
        <x:v>114</x:v>
      </x:c>
      <x:c r="D5" s="23" t="str">
        <x:v>Blocked / pending</x:v>
      </x:c>
      <x:c r="E5" s="23" t="n">
        <x:f>COUNTA(Review_Index!C2:C115)-COUNTIF(Review_Index!O2:O115,"ready_after_minor_patch")-COUNTIF(Review_Index!O2:O115,"ready_after_major_patch")</x:f>
        <x:v>3</x:v>
      </x:c>
      <x:c r="G5" s="23" t="str">
        <x:v>Attack</x:v>
      </x:c>
      <x:c r="H5" s="23" t="n">
        <x:f>COUNTIF(Review_Index!K2:K115,"attack")</x:f>
        <x:v>26</x:v>
      </x:c>
    </x:row>
    <x:row r="6">
      <x:c r="A6" s="23" t="str">
        <x:v>Load-bearing track</x:v>
      </x:c>
      <x:c r="B6" s="23" t="n">
        <x:f>COUNTIF(Review_Index!B2:B115,"load_bearing")</x:f>
        <x:v>20</x:v>
      </x:c>
      <x:c r="D6" s="23" t="str">
        <x:v>Core security</x:v>
      </x:c>
      <x:c r="E6" s="23" t="n">
        <x:f>COUNTIF(Review_Index!I2:I115,"core_security")</x:f>
        <x:v>73</x:v>
      </x:c>
      <x:c r="G6" s="23" t="str">
        <x:v>Defense</x:v>
      </x:c>
      <x:c r="H6" s="23" t="n">
        <x:f>COUNTIF(Review_Index!K2:K115,"defense")</x:f>
        <x:v>23</x:v>
      </x:c>
    </x:row>
    <x:row r="7">
      <x:c r="A7" s="23" t="str">
        <x:v>Standard attack track</x:v>
      </x:c>
      <x:c r="B7" s="23" t="n">
        <x:f>COUNTIF(Review_Index!B2:B115,"standard_attack")</x:f>
        <x:v>42</x:v>
      </x:c>
      <x:c r="D7" s="23" t="str">
        <x:v>Security relevant</x:v>
      </x:c>
      <x:c r="E7" s="23" t="n">
        <x:f>COUNTIF(Review_Index!I2:I115,"security_relevant")+COUNTIF(Review_Index!I2:I115,"security_relevant at paper level; core_security for adversarial claims")</x:f>
        <x:v>36</x:v>
      </x:c>
      <x:c r="G7" s="23" t="str">
        <x:v>Benchmark</x:v>
      </x:c>
      <x:c r="H7" s="23" t="n">
        <x:f>COUNTIF(Review_Index!K2:K115,"benchmark")</x:f>
        <x:v>17</x:v>
      </x:c>
    </x:row>
    <x:row r="8">
      <x:c r="A8" s="23" t="str">
        <x:v>Cross-category track</x:v>
      </x:c>
      <x:c r="B8" s="23" t="n">
        <x:f>COUNTIF(Review_Index!B2:B115,"cross_category")</x:f>
        <x:v>52</x:v>
      </x:c>
      <x:c r="D8" s="23" t="str">
        <x:v>Adjacent</x:v>
      </x:c>
      <x:c r="E8" s="23" t="n">
        <x:f>COUNTIF(Review_Index!I2:I115,"adjacent")</x:f>
        <x:v>5</x:v>
      </x:c>
      <x:c r="G8" s="23" t="str">
        <x:v>Evaluation</x:v>
      </x:c>
      <x:c r="H8" s="23" t="n">
        <x:f>COUNTIF(Review_Index!K2:K115,"evaluation")</x:f>
        <x:v>16</x:v>
      </x:c>
    </x:row>
    <x:row r="9">
      <x:c r="A9" s="23" t="str">
        <x:v>Minor patch</x:v>
      </x:c>
      <x:c r="B9" s="23" t="n">
        <x:f>COUNTIF(Review_Index!O2:O115,"ready_after_minor_patch")</x:f>
        <x:v>52</x:v>
      </x:c>
      <x:c r="D9" s="23" t="str">
        <x:v>Category changes</x:v>
      </x:c>
      <x:c r="E9" s="23" t="n">
        <x:f>COUNTIF(Review_Index!S2:S115,"Yes")</x:f>
        <x:v>62</x:v>
      </x:c>
      <x:c r="G9" s="23" t="str">
        <x:v>Preprint / non-archival</x:v>
      </x:c>
      <x:c r="H9" s="23" t="n">
        <x:f>COUNTIF(Review_Index!U2:U115,"Yes")</x:f>
        <x:v>49</x:v>
      </x:c>
    </x:row>
    <x:row r="10">
      <x:c r="A10" s="23" t="str">
        <x:v>Major patch</x:v>
      </x:c>
      <x:c r="B10" s="23" t="n">
        <x:f>COUNTIF(Review_Index!O2:O115,"ready_after_major_patch")</x:f>
        <x:v>59</x:v>
      </x:c>
      <x:c r="D10" s="23" t="str">
        <x:v>Scope changes</x:v>
      </x:c>
      <x:c r="E10" s="23" t="n">
        <x:f>COUNTIF(Review_Index!T2:T115,"Yes")</x:f>
        <x:v>24</x:v>
      </x:c>
      <x:c r="G10" s="23" t="str">
        <x:v>Corrections logged</x:v>
      </x:c>
      <x:c r="H10" s="23" t="n">
        <x:f>COUNTA(Corrections!A2:A232)</x:f>
        <x:v>231</x:v>
      </x:c>
    </x:row>
    <x:row r="12">
      <x:c r="A12" s="27" t="str">
        <x:v>Three unresolved blockers</x:v>
      </x:c>
      <x:c r="B12" s="27"/>
      <x:c r="C12" s="27"/>
      <x:c r="D12" s="27"/>
      <x:c r="E12" s="27"/>
      <x:c r="F12" s="27"/>
      <x:c r="G12" s="27"/>
      <x:c r="H12" s="27"/>
    </x:row>
    <x:row r="13">
      <x:c r="A13" s="32" t="str">
        <x:v>Priority</x:v>
      </x:c>
      <x:c r="B13" s="32" t="str">
        <x:v>Paper ID</x:v>
      </x:c>
      <x:c r="C13" s="32" t="str">
        <x:v>Title</x:v>
      </x:c>
      <x:c r="D13" s="32" t="str">
        <x:v>Outcome</x:v>
      </x:c>
      <x:c r="E13" s="32" t="str">
        <x:v>Required action</x:v>
      </x:c>
      <x:c r="F13" s="32" t="str"/>
      <x:c r="G13" s="32" t="str"/>
      <x:c r="H13" s="32" t="str"/>
    </x:row>
    <x:row r="14">
      <x:c r="A14" s="38" t="n">
        <x:v>5</x:v>
      </x:c>
      <x:c r="B14" s="38" t="str">
        <x:v>ju2026flooding</x:v>
      </x:c>
      <x:c r="C14" s="38" t="str">
        <x:v>Flooding Spread of Manipulated Knowledge in LLM-Based Multi-Agent Communities</x:v>
      </x:c>
      <x:c r="D14" s="38" t="str">
        <x:v>pending_final_source_verification</x:v>
      </x:c>
      <x:c r="E14" s="38" t="str">
        <x:v>See load-bearing correction log and detailed source review.</x:v>
      </x:c>
      <x:c r="F14" s="38" t="str"/>
      <x:c r="G14" s="38" t="str"/>
      <x:c r="H14" s="38" t="str"/>
    </x:row>
    <x:row r="15">
      <x:c r="A15" s="38" t="n">
        <x:v>20</x:v>
      </x:c>
      <x:c r="B15" s="38" t="str">
        <x:v>li2026a2asecbench</x:v>
      </x:c>
      <x:c r="C15" s="38" t="str">
        <x:v>A2ASecBench: A Protocol-Aware Security Benchmark for Agent-to-Agent Multi-Agent Systems</x:v>
      </x:c>
      <x:c r="D15" s="38" t="str">
        <x:v>pending_exact_full-text_verification</x:v>
      </x:c>
      <x:c r="E15" s="38" t="str">
        <x:v>See load-bearing correction log and detailed source review.</x:v>
      </x:c>
      <x:c r="F15" s="38" t="str"/>
      <x:c r="G15" s="38" t="str"/>
      <x:c r="H15" s="38" t="str"/>
    </x:row>
    <x:row r="16">
      <x:c r="A16" s="38" t="n">
        <x:v>90</x:v>
      </x:c>
      <x:c r="B16" s="38" t="str">
        <x:v>zou2026calbench</x:v>
      </x:c>
      <x:c r="C16" s="38" t="str">
        <x:v>CalBench: Evaluating Coordination-Privacy Trade-offs in Multi-Agent LLMs</x:v>
      </x:c>
      <x:c r="D16" s="38" t="str">
        <x:v>blocked_metadata_signoff</x:v>
      </x:c>
      <x:c r="E16" s="38" t="str">
        <x:v>Resolve four-author arXiv metadata versus five-author PDF title-block conflict. Replace vague N/M notation with canonical N=5, M=5 in main suite. Do not call Table 1 N=135/45 “number of agents”; it is evaluated seats.</x:v>
      </x:c>
      <x:c r="F16" s="38" t="str"/>
      <x:c r="G16" s="38" t="str"/>
      <x:c r="H16" s="38" t="str"/>
    </x:row>
    <x:row r="18">
      <x:c r="A18" s="17" t="str">
        <x:v>Outcome</x:v>
      </x:c>
      <x:c r="B18" s="17" t="str">
        <x:v>Count</x:v>
      </x:c>
    </x:row>
    <x:row r="19">
      <x:c r="A19" t="str">
        <x:v>Minor patch</x:v>
      </x:c>
      <x:c r="B19" t="n">
        <x:v>52</x:v>
      </x:c>
    </x:row>
    <x:row r="20">
      <x:c r="A20" t="str">
        <x:v>Major patch</x:v>
      </x:c>
      <x:c r="B20" t="n">
        <x:v>59</x:v>
      </x:c>
    </x:row>
    <x:row r="21">
      <x:c r="A21" t="str">
        <x:v>Blocked / pending</x:v>
      </x:c>
      <x:c r="B21" t="n">
        <x:v>3</x:v>
      </x:c>
    </x:row>
    <x:row r="34">
      <x:c r="A34" s="42" t="str">
        <x:v>Queue-level conclusions</x:v>
      </x:c>
      <x:c r="B34" s="42" t="str"/>
      <x:c r="C34" s="42" t="str"/>
      <x:c r="D34" s="42" t="str"/>
      <x:c r="E34" s="42" t="str"/>
      <x:c r="F34" s="42" t="str"/>
      <x:c r="G34" s="42" t="str"/>
      <x:c r="H34" s="42" t="str"/>
    </x:row>
    <x:row r="35">
      <x:c r="A35" s="46" t="str">
        <x:v>1</x:v>
      </x:c>
      <x:c r="B35" s="46" t="str">
        <x:v>The original primary category changes for 42 of the 94 newly audited papers; many are evaluations, benchmarks, defenses, or general frameworks rather than attacks.</x:v>
      </x:c>
      <x:c r="C35" s="46" t="str"/>
      <x:c r="D35" s="46" t="str"/>
      <x:c r="E35" s="46" t="str"/>
      <x:c r="F35" s="46" t="str"/>
      <x:c r="G35" s="46" t="str"/>
      <x:c r="H35" s="46" t="str"/>
    </x:row>
    <x:row r="36">
      <x:c r="A36" s="46" t="str">
        <x:v>2</x:v>
      </x:c>
      <x:c r="B36" s="46" t="str">
        <x:v>The scope label changes for 20 of the 94 newly audited papers, including both upgrades to core_security and downgrades to security_relevant or adjacent.</x:v>
      </x:c>
      <x:c r="C36" s="46" t="str"/>
      <x:c r="D36" s="46" t="str"/>
      <x:c r="E36" s="46" t="str"/>
      <x:c r="F36" s="46" t="str"/>
      <x:c r="G36" s="46" t="str"/>
      <x:c r="H36" s="46" t="str"/>
    </x:row>
    <x:row r="37">
      <x:c r="A37" s="46" t="str">
        <x:v>3</x:v>
      </x:c>
      <x:c r="B37" s="46" t="str">
        <x:v>ASR, leakage rates, propagation measures, detection scores, task accuracy, and formal guarantees use incompatible units and denominators and must not be pooled by name.</x:v>
      </x:c>
      <x:c r="C37" s="46" t="str"/>
      <x:c r="D37" s="46" t="str"/>
      <x:c r="E37" s="46" t="str"/>
      <x:c r="F37" s="46" t="str"/>
      <x:c r="G37" s="46" t="str"/>
      <x:c r="H37" s="46" t="str"/>
    </x:row>
    <x:row r="38">
      <x:c r="A38" s="46" t="str">
        <x:v>4</x:v>
      </x:c>
      <x:c r="B38" s="46" t="str">
        <x:v>Formal, survey, position, workshop, preprint, and archival primary evidence are separated; preprints do not independently support headline conclusions.</x:v>
      </x:c>
      <x:c r="C38" s="46" t="str"/>
      <x:c r="D38" s="46" t="str"/>
      <x:c r="E38" s="46" t="str"/>
      <x:c r="F38" s="46" t="str"/>
      <x:c r="G38" s="46" t="str"/>
      <x:c r="H38" s="46" t="str"/>
    </x:row>
    <x:row r="39">
      <x:c r="A39" s="46" t="str">
        <x:v>5</x:v>
      </x:c>
      <x:c r="B39" s="46" t="str">
        <x:v>No queue status should be bulk-upgraded to human_verified from this audit.</x:v>
      </x:c>
      <x:c r="C39" s="46" t="str"/>
      <x:c r="D39" s="46" t="str"/>
      <x:c r="E39" s="46" t="str"/>
      <x:c r="F39" s="46" t="str"/>
      <x:c r="G39" s="46" t="str"/>
      <x:c r="H39" s="46" t="str"/>
    </x:row>
    <x:row r="40">
      <x:c r="A40" t="str"/>
      <x:c r="B40" t="str"/>
      <x:c r="C40" t="str"/>
      <x:c r="D40" t="str"/>
      <x:c r="E40" t="str"/>
      <x:c r="F40" t="str"/>
      <x:c r="G40" t="str"/>
      <x:c r="H40" t="str"/>
    </x:row>
  </x:sheetData>
  <x:mergeCells>
    <x:mergeCell ref="A1:H1"/>
    <x:mergeCell ref="A2:H2"/>
    <x:mergeCell ref="A12:H12"/>
    <x:mergeCell ref="B35:H35"/>
    <x:mergeCell ref="B36:H36"/>
    <x:mergeCell ref="B37:H37"/>
    <x:mergeCell ref="B38:H38"/>
    <x:mergeCell ref="B39:H39"/>
  </x:mergeCells>
  <x:pageMargins left="0.7" right="0.7" top="0.75" bottom="0.75" header="0.3" footer="0.3"/>
  <x:drawing xmlns:r="http://schemas.openxmlformats.org/officeDocument/2006/relationships" r:id="Rdb3eb6f212f54e18"/>
</x:worksheet>
</file>

<file path=xl/worksheets/sheet2.xml><?xml version="1.0" encoding="utf-8"?>
<x:worksheet xmlns:x="http://schemas.openxmlformats.org/spreadsheetml/2006/main">
  <x:sheetFormatPr defaultRowHeight="15"/>
  <x:cols>
    <x:col min="1" max="1" width="8" hidden="0" customWidth="1"/>
    <x:col min="2" max="2" width="16" hidden="0" customWidth="1"/>
    <x:col min="3" max="3" width="25" hidden="0" customWidth="1"/>
    <x:col min="4" max="4" width="46" hidden="0" customWidth="1"/>
    <x:col min="5" max="5" width="24" hidden="0" customWidth="1"/>
    <x:col min="6" max="6" width="34" hidden="0" customWidth="1"/>
    <x:col min="7" max="7" width="25" hidden="0" customWidth="1"/>
    <x:col min="8" max="8" width="17" hidden="0" customWidth="1"/>
    <x:col min="9" max="9" width="18" hidden="0" customWidth="1"/>
    <x:col min="10" max="10" width="18" hidden="0" customWidth="1"/>
    <x:col min="11" max="11" width="20" hidden="0" customWidth="1"/>
    <x:col min="12" max="12" width="45" hidden="0" customWidth="1"/>
    <x:col min="13" max="13" width="28" hidden="0" customWidth="1"/>
    <x:col min="14" max="14" width="42" hidden="0" customWidth="1"/>
    <x:col min="15" max="15" width="24" hidden="0" customWidth="1"/>
    <x:col min="16" max="16" width="34" hidden="0" customWidth="1"/>
    <x:col min="17" max="17" width="36" hidden="0" customWidth="1"/>
    <x:col min="18" max="18" width="42" hidden="0" customWidth="1"/>
    <x:col min="19" max="19" width="14" hidden="0" customWidth="1"/>
    <x:col min="20" max="20" width="12" hidden="0" customWidth="1"/>
    <x:col min="21" max="21" width="19" hidden="0" customWidth="1"/>
  </x:cols>
  <x:sheetData>
    <x:row r="1" ht="34" customHeight="1">
      <x:c r="A1" s="53" t="str">
        <x:v>Priority</x:v>
      </x:c>
      <x:c r="B1" s="53" t="str">
        <x:v>Track</x:v>
      </x:c>
      <x:c r="C1" s="53" t="str">
        <x:v>Paper ID</x:v>
      </x:c>
      <x:c r="D1" s="53" t="str">
        <x:v>Canonical Title</x:v>
      </x:c>
      <x:c r="E1" s="53" t="str">
        <x:v>Venue</x:v>
      </x:c>
      <x:c r="F1" s="53" t="str">
        <x:v>Version Status</x:v>
      </x:c>
      <x:c r="G1" s="53" t="str">
        <x:v>Identity Verdict</x:v>
      </x:c>
      <x:c r="H1" s="53" t="str">
        <x:v>Current Scope</x:v>
      </x:c>
      <x:c r="I1" s="53" t="str">
        <x:v>Recommended Scope</x:v>
      </x:c>
      <x:c r="J1" s="53" t="str">
        <x:v>Current Category</x:v>
      </x:c>
      <x:c r="K1" s="53" t="str">
        <x:v>Recommended Category</x:v>
      </x:c>
      <x:c r="L1" s="53" t="str">
        <x:v>Multi-Agent Verdict</x:v>
      </x:c>
      <x:c r="M1" s="53" t="str">
        <x:v>Attack Evidence Status</x:v>
      </x:c>
      <x:c r="N1" s="53" t="str">
        <x:v>Primary System Failure</x:v>
      </x:c>
      <x:c r="O1" s="53" t="str">
        <x:v>Review Outcome</x:v>
      </x:c>
      <x:c r="P1" s="53" t="str">
        <x:v>Review Status</x:v>
      </x:c>
      <x:c r="Q1" s="53" t="str">
        <x:v>Load-Bearing Promotion</x:v>
      </x:c>
      <x:c r="R1" s="53" t="str">
        <x:v>Source URL</x:v>
      </x:c>
      <x:c r="S1" s="53" t="str">
        <x:v>Category Changed?</x:v>
      </x:c>
      <x:c r="T1" s="53" t="str">
        <x:v>Scope Changed?</x:v>
      </x:c>
      <x:c r="U1" s="53" t="str">
        <x:v>Preprint / Non-archival?</x:v>
      </x:c>
    </x:row>
    <x:row r="2">
      <x:c r="A2" s="60" t="n">
        <x:v>1</x:v>
      </x:c>
      <x:c r="B2" s="60" t="str">
        <x:v>load_bearing</x:v>
      </x:c>
      <x:c r="C2" s="60" t="str">
        <x:v>gu2024agent_smith</x:v>
      </x:c>
      <x:c r="D2" s="60" t="str">
        <x:v>Agent Smith: A Single Image Can Jailbreak One Million Multimodal LLM Agents Exponentially Fast</x:v>
      </x:c>
      <x:c r="E2" s="60" t="str">
        <x:v>ICML 2024, PMLR 235</x:v>
      </x:c>
      <x:c r="F2" s="60" t="str">
        <x:v>Canonical published ICML version confirmed. Current title, author list, and year are consistent with PMLR. Use the PMLR record as canonical and retain any arXiv copy only as a linked version.</x:v>
      </x:c>
      <x:c r="G2" s="60" t="str">
        <x:v>source_identity_reviewed</x:v>
      </x:c>
      <x:c r="H2" s="60" t="str">
        <x:v>core_security</x:v>
      </x:c>
      <x:c r="I2" s="60" t="str">
        <x:v>core_security</x:v>
      </x:c>
      <x:c r="J2" s="60" t="str">
        <x:v>attack</x:v>
      </x:c>
      <x:c r="K2" s="60" t="str">
        <x:v>attack; empirical study; theoretical analysis</x:v>
      </x:c>
      <x:c r="L2" s="60" t="str">
        <x:v>The system contains independently instantiated multimodal agents with memory banks and randomized pairwise communication. Population spread and its growth are undefined for a single isolated agent.</x:v>
      </x:c>
      <x:c r="M2" s="60" t="str">
        <x:v>load_bearing_source_review</x:v>
      </x:c>
      <x:c r="N2" s="60" t="str">
        <x:v>F1 compromise propagation and containment failure.</x:v>
      </x:c>
      <x:c r="O2" s="60" t="str">
        <x:v>ready_after_minor_patch</x:v>
      </x:c>
      <x:c r="P2" s="60" t="str">
        <x:v>source_reviewed_pending_author_signoff</x:v>
      </x:c>
      <x:c r="Q2" s="60" t="str">
        <x:v>already_load_bearing</x:v>
      </x:c>
      <x:c r="R2" s="60" t="str">
        <x:v>https://proceedings.mlr.press/v235/gu24e.html</x:v>
      </x:c>
      <x:c r="S2" s="60" t="str">
        <x:v>Yes</x:v>
      </x:c>
      <x:c r="T2" s="60" t="str">
        <x:v>No</x:v>
      </x:c>
      <x:c r="U2" s="60" t="str">
        <x:v>No</x:v>
      </x:c>
    </x:row>
    <x:row r="3">
      <x:c r="A3" s="60" t="n">
        <x:v>2</x:v>
      </x:c>
      <x:c r="B3" s="60" t="str">
        <x:v>load_bearing</x:v>
      </x:c>
      <x:c r="C3" s="60" t="str">
        <x:v>motwani2024secret_collusion</x:v>
      </x:c>
      <x:c r="D3" s="60" t="str">
        <x:v>Secret Collusion among AI Agents: Multi-Agent Deception via Steganography</x:v>
      </x:c>
      <x:c r="E3" s="60" t="str">
        <x:v>NeurIPS 2024</x:v>
      </x:c>
      <x:c r="F3" s="60" t="str">
        <x:v>Canonical NeurIPS 2024 proceedings version confirmed. Current title, authors, year, venue, and DOI are consistent with the proceedings.</x:v>
      </x:c>
      <x:c r="G3" s="60" t="str">
        <x:v>source_identity_reviewed</x:v>
      </x:c>
      <x:c r="H3" s="60" t="str">
        <x:v>core_security</x:v>
      </x:c>
      <x:c r="I3" s="60" t="str">
        <x:v>core_security</x:v>
      </x:c>
      <x:c r="J3" s="60" t="str">
        <x:v>attack</x:v>
      </x:c>
      <x:c r="K3" s="60" t="str">
        <x:v>attack; defense evaluation; empirical study; theoretical analysis</x:v>
      </x:c>
      <x:c r="L3" s="60" t="str">
        <x:v>Secret collusion requires at least a sender, receiver, and oversight model. The prohibited coordination and detectability question do not exist for one isolated agent.</x:v>
      </x:c>
      <x:c r="M3" s="60" t="str">
        <x:v>load_bearing_source_review</x:v>
      </x:c>
      <x:c r="N3" s="60" t="str">
        <x:v>Oversight or monitorability integrity failure at claim level.</x:v>
      </x:c>
      <x:c r="O3" s="60" t="str">
        <x:v>ready_after_minor_patch</x:v>
      </x:c>
      <x:c r="P3" s="60" t="str">
        <x:v>source_reviewed_pending_author_signoff</x:v>
      </x:c>
      <x:c r="Q3" s="60" t="str">
        <x:v>already_load_bearing</x:v>
      </x:c>
      <x:c r="R3" s="60" t="str">
        <x:v>https://proceedings.neurips.cc/paper_files/paper/2024/hash/861f7dad098aec1c3560fb7add468d41-Abstract-Conference.html</x:v>
      </x:c>
      <x:c r="S3" s="60" t="str">
        <x:v>Yes</x:v>
      </x:c>
      <x:c r="T3" s="60" t="str">
        <x:v>No</x:v>
      </x:c>
      <x:c r="U3" s="60" t="str">
        <x:v>No</x:v>
      </x:c>
    </x:row>
    <x:row r="4">
      <x:c r="A4" s="60" t="n">
        <x:v>3</x:v>
      </x:c>
      <x:c r="B4" s="60" t="str">
        <x:v>load_bearing</x:v>
      </x:c>
      <x:c r="C4" s="60" t="str">
        <x:v>men2025troublemaker</x:v>
      </x:c>
      <x:c r="D4" s="60" t="str">
        <x:v>A Troublemaker with Contagious Jailbreak Makes Chaos in Honest Towns</x:v>
      </x:c>
      <x:c r="E4" s="60" t="str">
        <x:v>ACL 2025</x:v>
      </x:c>
      <x:c r="F4" s="60" t="str">
        <x:v>Canonical ACL 2025 version confirmed. Current title, author list, DOI, venue, and year are correct.</x:v>
      </x:c>
      <x:c r="G4" s="60" t="str">
        <x:v>source_identity_reviewed</x:v>
      </x:c>
      <x:c r="H4" s="60" t="str">
        <x:v>core_security</x:v>
      </x:c>
      <x:c r="I4" s="60" t="str">
        <x:v>core_security</x:v>
      </x:c>
      <x:c r="J4" s="60" t="str">
        <x:v>attack</x:v>
      </x:c>
      <x:c r="K4" s="60" t="str">
        <x:v>attack; benchmark; evaluation</x:v>
      </x:c>
      <x:c r="L4" s="60" t="str">
        <x:v>One malicious member spreads jailbreak content through communication and independent memories; retrieval, replication, topology, and population size determine system-level propagation.</x:v>
      </x:c>
      <x:c r="M4" s="60" t="str">
        <x:v>load_bearing_source_review</x:v>
      </x:c>
      <x:c r="N4" s="60" t="str">
        <x:v>F1 compromise propagation and containment failure.</x:v>
      </x:c>
      <x:c r="O4" s="60" t="str">
        <x:v>ready_after_minor_patch</x:v>
      </x:c>
      <x:c r="P4" s="60" t="str">
        <x:v>source_reviewed_pending_author_signoff</x:v>
      </x:c>
      <x:c r="Q4" s="60" t="str">
        <x:v>already_load_bearing</x:v>
      </x:c>
      <x:c r="R4" s="60" t="str">
        <x:v>https://aclanthology.org/2025.acl-long.859/</x:v>
      </x:c>
      <x:c r="S4" s="60" t="str">
        <x:v>Yes</x:v>
      </x:c>
      <x:c r="T4" s="60" t="str">
        <x:v>No</x:v>
      </x:c>
      <x:c r="U4" s="60" t="str">
        <x:v>No</x:v>
      </x:c>
    </x:row>
    <x:row r="5">
      <x:c r="A5" s="60" t="n">
        <x:v>4</x:v>
      </x:c>
      <x:c r="B5" s="60" t="str">
        <x:v>load_bearing</x:v>
      </x:c>
      <x:c r="C5" s="60" t="str">
        <x:v>cohen2025ai_worm</x:v>
      </x:c>
      <x:c r="D5" s="60" t="str">
        <x:v>Here Comes the AI Worm: Preventing the Propagation of Adversarial Self-Replicating Prompts Within GenAI Ecosystems</x:v>
      </x:c>
      <x:c r="E5" s="60" t="str">
        <x:v>ACM CCS 2025, pp. 3975 to 3989</x:v>
      </x:c>
      <x:c r="F5" s="60" t="str">
        <x:v>The CCS paper is the canonical version. The earlier arXiv version used the title 'Here Comes The AI Worm: Unleashing Zero-click Worms that Target GenAI-Powered Applications' and used earlier system names. Merge them as one work but preserve version-specific terminology and results.</x:v>
      </x:c>
      <x:c r="G5" s="60" t="str">
        <x:v>source_identity_reviewed</x:v>
      </x:c>
      <x:c r="H5" s="60" t="str">
        <x:v>core_security</x:v>
      </x:c>
      <x:c r="I5" s="60" t="str">
        <x:v>security_relevant</x:v>
      </x:c>
      <x:c r="J5" s="60" t="str">
        <x:v>attack</x:v>
      </x:c>
      <x:c r="K5" s="60" t="str">
        <x:v>attack; defense; ecosystem evaluation</x:v>
      </x:c>
      <x:c r="L5" s="60" t="str">
        <x:v>The work studies a network of GenAI email and RAG applications and users. It is highly relevant to propagation, but the system boundary is broader than a population of independently stateful LLM agent cores.</x:v>
      </x:c>
      <x:c r="M5" s="60" t="str">
        <x:v>load_bearing_source_review</x:v>
      </x:c>
      <x:c r="N5" s="60" t="str">
        <x:v>F1 propagation and containment failure.</x:v>
      </x:c>
      <x:c r="O5" s="60" t="str">
        <x:v>ready_after_major_patch</x:v>
      </x:c>
      <x:c r="P5" s="60" t="str">
        <x:v>source_reviewed_pending_author_signoff</x:v>
      </x:c>
      <x:c r="Q5" s="60" t="str">
        <x:v>already_load_bearing</x:v>
      </x:c>
      <x:c r="R5" s="60" t="str">
        <x:v>https://doi.org/10.1145/3719027.3765196</x:v>
      </x:c>
      <x:c r="S5" s="60" t="str">
        <x:v>Yes</x:v>
      </x:c>
      <x:c r="T5" s="60" t="str">
        <x:v>Yes</x:v>
      </x:c>
      <x:c r="U5" s="60" t="str">
        <x:v>Yes</x:v>
      </x:c>
    </x:row>
    <x:row r="6">
      <x:c r="A6" s="60" t="n">
        <x:v>5</x:v>
      </x:c>
      <x:c r="B6" s="60" t="str">
        <x:v>load_bearing</x:v>
      </x:c>
      <x:c r="C6" s="60" t="str">
        <x:v>ju2026flooding</x:v>
      </x:c>
      <x:c r="D6" s="60" t="str">
        <x:v>Flooding Spread of Manipulated Knowledge in LLM-Based Multi-Agent Communities</x:v>
      </x:c>
      <x:c r="E6" s="60" t="str">
        <x:v>Science China Information Sciences 2026</x:v>
      </x:c>
      <x:c r="F6" s="60" t="str">
        <x:v>The journal DOI and title are confirmed, but the final journal author metadata appears to disagree with the current ten-author record, potentially adding Yi Hua. The final journal PDF must be treated as authoritative before signoff.</x:v>
      </x:c>
      <x:c r="G6" s="60" t="str">
        <x:v>blocked_exact_source</x:v>
      </x:c>
      <x:c r="H6" s="60" t="str">
        <x:v>core_security</x:v>
      </x:c>
      <x:c r="I6" s="60" t="str">
        <x:v>core_security</x:v>
      </x:c>
      <x:c r="J6" s="60" t="str">
        <x:v>attack</x:v>
      </x:c>
      <x:c r="K6" s="60" t="str">
        <x:v>attack; evaluation</x:v>
      </x:c>
      <x:c r="L6" s="60" t="str">
        <x:v>Manipulated knowledge spreads through communication and stored chat histories among LLM agents and persists through RAG retrieval.</x:v>
      </x:c>
      <x:c r="M6" s="60" t="str">
        <x:v>load_bearing_source_review</x:v>
      </x:c>
      <x:c r="N6" s="60" t="str">
        <x:v>F3 communication and shared-knowledge integrity failure.</x:v>
      </x:c>
      <x:c r="O6" s="60" t="str">
        <x:v>pending_final_source_verification</x:v>
      </x:c>
      <x:c r="P6" s="60" t="str">
        <x:v>blocked_pending_exact_source</x:v>
      </x:c>
      <x:c r="Q6" s="60" t="str">
        <x:v>already_load_bearing</x:v>
      </x:c>
      <x:c r="R6" s="60" t="str">
        <x:v>https://doi.org/10.1007/s11432-024-4663-2</x:v>
      </x:c>
      <x:c r="S6" s="60" t="str">
        <x:v>Yes</x:v>
      </x:c>
      <x:c r="T6" s="60" t="str">
        <x:v>No</x:v>
      </x:c>
      <x:c r="U6" s="60" t="str">
        <x:v>No</x:v>
      </x:c>
    </x:row>
    <x:row r="7">
      <x:c r="A7" s="60" t="n">
        <x:v>6</x:v>
      </x:c>
      <x:c r="B7" s="60" t="str">
        <x:v>load_bearing</x:v>
      </x:c>
      <x:c r="C7" s="60" t="str">
        <x:v>wang2025gsafeguard</x:v>
      </x:c>
      <x:c r="D7" s="60" t="str">
        <x:v>G-Safeguard: A Topology-Guided Security Lens and Treatment on LLM-based Multi-agent Systems</x:v>
      </x:c>
      <x:c r="E7" s="60" t="str">
        <x:v>ACL 2025, pp. 7261 to 7276</x:v>
      </x:c>
      <x:c r="F7" s="60" t="str">
        <x:v>Canonical ACL 2025 proceedings version confirmed. Metadata is correct.</x:v>
      </x:c>
      <x:c r="G7" s="60" t="str">
        <x:v>source_identity_reviewed</x:v>
      </x:c>
      <x:c r="H7" s="60" t="str">
        <x:v>core_security</x:v>
      </x:c>
      <x:c r="I7" s="60" t="str">
        <x:v>core_security</x:v>
      </x:c>
      <x:c r="J7" s="60" t="str">
        <x:v>attack</x:v>
      </x:c>
      <x:c r="K7" s="60" t="str">
        <x:v>defense; evaluation; attack analysis</x:v>
      </x:c>
      <x:c r="L7" s="60" t="str">
        <x:v>The method explicitly represents multi-agent utterances and their graph relations and intervenes on communication topology.</x:v>
      </x:c>
      <x:c r="M7" s="60" t="str">
        <x:v>load_bearing_source_review</x:v>
      </x:c>
      <x:c r="N7" s="60" t="str">
        <x:v>Claim-level F1, F3, or F4 depending on the evaluated attack. The paper itself should not receive one forced attack outcome.</x:v>
      </x:c>
      <x:c r="O7" s="60" t="str">
        <x:v>ready_after_major_patch</x:v>
      </x:c>
      <x:c r="P7" s="60" t="str">
        <x:v>source_reviewed_pending_author_signoff</x:v>
      </x:c>
      <x:c r="Q7" s="60" t="str">
        <x:v>already_load_bearing</x:v>
      </x:c>
      <x:c r="R7" s="60" t="str">
        <x:v>https://aclanthology.org/2025.acl-long.359/</x:v>
      </x:c>
      <x:c r="S7" s="60" t="str">
        <x:v>Yes</x:v>
      </x:c>
      <x:c r="T7" s="60" t="str">
        <x:v>No</x:v>
      </x:c>
      <x:c r="U7" s="60" t="str">
        <x:v>No</x:v>
      </x:c>
    </x:row>
    <x:row r="8">
      <x:c r="A8" s="60" t="n">
        <x:v>7</x:v>
      </x:c>
      <x:c r="B8" s="60" t="str">
        <x:v>load_bearing</x:v>
      </x:c>
      <x:c r="C8" s="60" t="str">
        <x:v>yu2025netsafe</x:v>
      </x:c>
      <x:c r="D8" s="60" t="str">
        <x:v>NetSafe: Exploring the Topological Safety of Multi-agent System</x:v>
      </x:c>
      <x:c r="E8" s="60" t="str">
        <x:v>Findings of ACL 2025</x:v>
      </x:c>
      <x:c r="F8" s="60" t="str">
        <x:v>Canonical Findings of ACL 2025 version confirmed. Metadata is correct.</x:v>
      </x:c>
      <x:c r="G8" s="60" t="str">
        <x:v>source_identity_reviewed</x:v>
      </x:c>
      <x:c r="H8" s="60" t="str">
        <x:v>core_security</x:v>
      </x:c>
      <x:c r="I8" s="60" t="str">
        <x:v>security_relevant at paper level; core_security for adversarial claims</x:v>
      </x:c>
      <x:c r="J8" s="60" t="str">
        <x:v>attack</x:v>
      </x:c>
      <x:c r="K8" s="60" t="str">
        <x:v>benchmark; evaluation; topology analysis</x:v>
      </x:c>
      <x:c r="L8" s="60" t="str">
        <x:v>The paper mixes adversarial misinformation or harmful content with broader hallucination, bias, fairness, and reliability phenomena. Only the adversarial security claims should enter core-security statistics.</x:v>
      </x:c>
      <x:c r="M8" s="60" t="str">
        <x:v>load_bearing_source_review</x:v>
      </x:c>
      <x:c r="N8" s="60" t="str">
        <x:v>Claim-level F1 or F4 for adversarial subsets; adjacent reliability and fairness for other phenomena.</x:v>
      </x:c>
      <x:c r="O8" s="60" t="str">
        <x:v>ready_after_major_patch</x:v>
      </x:c>
      <x:c r="P8" s="60" t="str">
        <x:v>source_reviewed_pending_author_signoff</x:v>
      </x:c>
      <x:c r="Q8" s="60" t="str">
        <x:v>already_load_bearing</x:v>
      </x:c>
      <x:c r="R8" s="60" t="str">
        <x:v>https://aclanthology.org/2025.findings-acl.150/</x:v>
      </x:c>
      <x:c r="S8" s="60" t="str">
        <x:v>Yes</x:v>
      </x:c>
      <x:c r="T8" s="60" t="str">
        <x:v>Yes</x:v>
      </x:c>
      <x:c r="U8" s="60" t="str">
        <x:v>No</x:v>
      </x:c>
    </x:row>
    <x:row r="9">
      <x:c r="A9" s="60" t="n">
        <x:v>8</x:v>
      </x:c>
      <x:c r="B9" s="60" t="str">
        <x:v>load_bearing</x:v>
      </x:c>
      <x:c r="C9" s="60" t="str">
        <x:v>zhou2026corba</x:v>
      </x:c>
      <x:c r="D9" s="60" t="str">
        <x:v>CORBA: Contagious Recursive Blocking Attacks on Multi-Agent Systems Based on Large Language Models</x:v>
      </x:c>
      <x:c r="E9" s="60" t="str">
        <x:v>Findings of ACL 2026</x:v>
      </x:c>
      <x:c r="F9" s="60" t="str">
        <x:v>Canonical Findings of ACL 2026 version confirmed. Metadata is correct.</x:v>
      </x:c>
      <x:c r="G9" s="60" t="str">
        <x:v>source_identity_reviewed</x:v>
      </x:c>
      <x:c r="H9" s="60" t="str">
        <x:v>core_security</x:v>
      </x:c>
      <x:c r="I9" s="60" t="str">
        <x:v>core_security</x:v>
      </x:c>
      <x:c r="J9" s="60" t="str">
        <x:v>attack</x:v>
      </x:c>
      <x:c r="K9" s="60" t="str">
        <x:v>attack; evaluation</x:v>
      </x:c>
      <x:c r="L9" s="60" t="str">
        <x:v>Recursive communication among agents is the mechanism that turns semantically benign instructions into system-level blocking and paralysis.</x:v>
      </x:c>
      <x:c r="M9" s="60" t="str">
        <x:v>load_bearing_source_review</x:v>
      </x:c>
      <x:c r="N9" s="60" t="str">
        <x:v>F7 availability and resource boundedness failure.</x:v>
      </x:c>
      <x:c r="O9" s="60" t="str">
        <x:v>ready_after_minor_patch</x:v>
      </x:c>
      <x:c r="P9" s="60" t="str">
        <x:v>source_reviewed_pending_author_signoff</x:v>
      </x:c>
      <x:c r="Q9" s="60" t="str">
        <x:v>already_load_bearing</x:v>
      </x:c>
      <x:c r="R9" s="60" t="str">
        <x:v>https://aclanthology.org/2026.findings-acl.342/</x:v>
      </x:c>
      <x:c r="S9" s="60" t="str">
        <x:v>Yes</x:v>
      </x:c>
      <x:c r="T9" s="60" t="str">
        <x:v>No</x:v>
      </x:c>
      <x:c r="U9" s="60" t="str">
        <x:v>No</x:v>
      </x:c>
    </x:row>
    <x:row r="10">
      <x:c r="A10" s="60" t="n">
        <x:v>9</x:v>
      </x:c>
      <x:c r="B10" s="60" t="str">
        <x:v>load_bearing</x:v>
      </x:c>
      <x:c r="C10" s="60" t="str">
        <x:v>mathew2025hidden</x:v>
      </x:c>
      <x:c r="D10" s="60" t="str">
        <x:v>Hidden in Plain Text: Emergence and Mitigation of Steganographic Collusion in LLMs</x:v>
      </x:c>
      <x:c r="E10" s="60" t="str">
        <x:v>IJCNLP-AACL 2025</x:v>
      </x:c>
      <x:c r="F10" s="60" t="str">
        <x:v>Canonical IJCNLP-AACL 2025 version confirmed. Metadata is correct.</x:v>
      </x:c>
      <x:c r="G10" s="60" t="str">
        <x:v>source_identity_reviewed</x:v>
      </x:c>
      <x:c r="H10" s="60" t="str">
        <x:v>core_security</x:v>
      </x:c>
      <x:c r="I10" s="60" t="str">
        <x:v>core_security</x:v>
      </x:c>
      <x:c r="J10" s="60" t="str">
        <x:v>attack</x:v>
      </x:c>
      <x:c r="K10" s="60" t="str">
        <x:v>security evaluation; attack elicitation; defense evaluation</x:v>
      </x:c>
      <x:c r="L10" s="60" t="str">
        <x:v>The study uses communicating sender and receiver agents and an overseer; hidden coordination depends on interaction and incentive structure.</x:v>
      </x:c>
      <x:c r="M10" s="60" t="str">
        <x:v>load_bearing_source_review</x:v>
      </x:c>
      <x:c r="N10" s="60" t="str">
        <x:v>Oversight or monitorability integrity failure.</x:v>
      </x:c>
      <x:c r="O10" s="60" t="str">
        <x:v>ready_after_major_patch</x:v>
      </x:c>
      <x:c r="P10" s="60" t="str">
        <x:v>source_reviewed_pending_author_signoff</x:v>
      </x:c>
      <x:c r="Q10" s="60" t="str">
        <x:v>already_load_bearing</x:v>
      </x:c>
      <x:c r="R10" s="60" t="str">
        <x:v>https://aclanthology.org/2025.ijcnlp-long.34/</x:v>
      </x:c>
      <x:c r="S10" s="60" t="str">
        <x:v>Yes</x:v>
      </x:c>
      <x:c r="T10" s="60" t="str">
        <x:v>No</x:v>
      </x:c>
      <x:c r="U10" s="60" t="str">
        <x:v>No</x:v>
      </x:c>
    </x:row>
    <x:row r="11">
      <x:c r="A11" s="60" t="n">
        <x:v>10</x:v>
      </x:c>
      <x:c r="B11" s="60" t="str">
        <x:v>load_bearing</x:v>
      </x:c>
      <x:c r="C11" s="60" t="str">
        <x:v>hu2026lying_truths</x:v>
      </x:c>
      <x:c r="D11" s="60" t="str">
        <x:v>Lying with Truths: Open-Channel Multi-Agent Collusion for Belief Manipulation via Generative Montage</x:v>
      </x:c>
      <x:c r="E11" s="60" t="str">
        <x:v>ACL 2026, Outstanding Paper</x:v>
      </x:c>
      <x:c r="F11" s="60" t="str">
        <x:v>Canonical ACL 2026 version confirmed. Metadata and title are correct.</x:v>
      </x:c>
      <x:c r="G11" s="60" t="str">
        <x:v>source_identity_reviewed</x:v>
      </x:c>
      <x:c r="H11" s="60" t="str">
        <x:v>core_security</x:v>
      </x:c>
      <x:c r="I11" s="60" t="str">
        <x:v>core_security</x:v>
      </x:c>
      <x:c r="J11" s="60" t="str">
        <x:v>attack</x:v>
      </x:c>
      <x:c r="K11" s="60" t="str">
        <x:v>attack; benchmark; evaluation</x:v>
      </x:c>
      <x:c r="L11" s="60" t="str">
        <x:v>A writer-editor-director coalition coordinates public, individually truthful fragments whose composition manipulates victim agents and downstream judges.</x:v>
      </x:c>
      <x:c r="M11" s="60" t="str">
        <x:v>load_bearing_source_review</x:v>
      </x:c>
      <x:c r="N11" s="60" t="str">
        <x:v>F4 collective decision or belief integrity failure.</x:v>
      </x:c>
      <x:c r="O11" s="60" t="str">
        <x:v>ready_after_minor_patch</x:v>
      </x:c>
      <x:c r="P11" s="60" t="str">
        <x:v>source_reviewed_pending_author_signoff</x:v>
      </x:c>
      <x:c r="Q11" s="60" t="str">
        <x:v>already_load_bearing</x:v>
      </x:c>
      <x:c r="R11" s="60" t="str">
        <x:v>https://aclanthology.org/2026.acl-long.270/</x:v>
      </x:c>
      <x:c r="S11" s="60" t="str">
        <x:v>Yes</x:v>
      </x:c>
      <x:c r="T11" s="60" t="str">
        <x:v>No</x:v>
      </x:c>
      <x:c r="U11" s="60" t="str">
        <x:v>No</x:v>
      </x:c>
    </x:row>
    <x:row r="12">
      <x:c r="A12" s="60" t="n">
        <x:v>11</x:v>
      </x:c>
      <x:c r="B12" s="60" t="str">
        <x:v>load_bearing</x:v>
      </x:c>
      <x:c r="C12" s="60" t="str">
        <x:v>huang2026whispering_agents</x:v>
      </x:c>
      <x:c r="D12" s="60" t="str">
        <x:v>Whispering Agents: An Event-Driven Covert Communication Protocol for the Internet of Agents</x:v>
      </x:c>
      <x:c r="E12" s="60" t="str">
        <x:v>AAAI 2026, pp. 31185 to 31192</x:v>
      </x:c>
      <x:c r="F12" s="60" t="str">
        <x:v>Canonical AAAI version confirmed. The OJS display contains the grammatical title variant 'A Event-Driven'; use the PDF title 'An Event-Driven' as canonical and record the metadata discrepancy.</x:v>
      </x:c>
      <x:c r="G12" s="60" t="str">
        <x:v>source_identity_reviewed</x:v>
      </x:c>
      <x:c r="H12" s="60" t="str">
        <x:v>core_security</x:v>
      </x:c>
      <x:c r="I12" s="60" t="str">
        <x:v>security_relevant</x:v>
      </x:c>
      <x:c r="J12" s="60" t="str">
        <x:v>attack</x:v>
      </x:c>
      <x:c r="K12" s="60" t="str">
        <x:v>protocol; evaluation; dual-use security</x:v>
      </x:c>
      <x:c r="L12" s="60" t="str">
        <x:v>It is a dual-use covert communication protocol for paired agents. It directly informs covert coordination and observer scope but is not inherently a malicious attack or evidence of spontaneous collusion.</x:v>
      </x:c>
      <x:c r="M12" s="60" t="str">
        <x:v>load_bearing_source_review</x:v>
      </x:c>
      <x:c r="N12" s="60" t="str">
        <x:v>From a defender view, oversight or monitorability integrity. From a legitimate-user view, communication privacy is the protected property.</x:v>
      </x:c>
      <x:c r="O12" s="60" t="str">
        <x:v>ready_after_major_patch</x:v>
      </x:c>
      <x:c r="P12" s="60" t="str">
        <x:v>source_reviewed_pending_author_signoff</x:v>
      </x:c>
      <x:c r="Q12" s="60" t="str">
        <x:v>already_load_bearing</x:v>
      </x:c>
      <x:c r="R12" s="60" t="str">
        <x:v>https://ojs.aaai.org/index.php/AAAI/article/view/40380</x:v>
      </x:c>
      <x:c r="S12" s="60" t="str">
        <x:v>Yes</x:v>
      </x:c>
      <x:c r="T12" s="60" t="str">
        <x:v>Yes</x:v>
      </x:c>
      <x:c r="U12" s="60" t="str">
        <x:v>No</x:v>
      </x:c>
    </x:row>
    <x:row r="13">
      <x:c r="A13" s="60" t="n">
        <x:v>12</x:v>
      </x:c>
      <x:c r="B13" s="60" t="str">
        <x:v>load_bearing</x:v>
      </x:c>
      <x:c r="C13" s="60" t="str">
        <x:v>wang2026masleak</x:v>
      </x:c>
      <x:c r="D13" s="60" t="str">
        <x:v>MASLeak: Investigating and Exposing Intellectual Property Leakage Vulnerabilities in Multi-Agent Systems</x:v>
      </x:c>
      <x:c r="E13" s="60" t="str">
        <x:v>USENIX Security 2026</x:v>
      </x:c>
      <x:c r="F13" s="60" t="str">
        <x:v>The USENIX title is canonical. The arXiv version has a different title and should be linked as the same work. The current note incorrectly states that no open-access copy exists; an arXiv full text is available.</x:v>
      </x:c>
      <x:c r="G13" s="60" t="str">
        <x:v>source_identity_reviewed</x:v>
      </x:c>
      <x:c r="H13" s="60" t="str">
        <x:v>core_security</x:v>
      </x:c>
      <x:c r="I13" s="60" t="str">
        <x:v>core_security</x:v>
      </x:c>
      <x:c r="J13" s="60" t="str">
        <x:v>attack</x:v>
      </x:c>
      <x:c r="K13" s="60" t="str">
        <x:v>attack; benchmark; evaluation</x:v>
      </x:c>
      <x:c r="L13" s="60" t="str">
        <x:v>A black-box user extracts agent count, topology, prompts, task instructions, and tools from an internal multi-agent architecture through its public API.</x:v>
      </x:c>
      <x:c r="M13" s="60" t="str">
        <x:v>load_bearing_source_review</x:v>
      </x:c>
      <x:c r="N13" s="60" t="str">
        <x:v>F2 cross-principal or system-IP confidentiality violation.</x:v>
      </x:c>
      <x:c r="O13" s="60" t="str">
        <x:v>ready_after_minor_patch</x:v>
      </x:c>
      <x:c r="P13" s="60" t="str">
        <x:v>source_reviewed_pending_author_signoff</x:v>
      </x:c>
      <x:c r="Q13" s="60" t="str">
        <x:v>already_load_bearing</x:v>
      </x:c>
      <x:c r="R13" s="60" t="str">
        <x:v>https://www.usenix.org/conference/usenixsecurity26/presentation/wang-liwen</x:v>
      </x:c>
      <x:c r="S13" s="60" t="str">
        <x:v>Yes</x:v>
      </x:c>
      <x:c r="T13" s="60" t="str">
        <x:v>No</x:v>
      </x:c>
      <x:c r="U13" s="60" t="str">
        <x:v>Yes</x:v>
      </x:c>
    </x:row>
    <x:row r="14">
      <x:c r="A14" s="60" t="n">
        <x:v>13</x:v>
      </x:c>
      <x:c r="B14" s="60" t="str">
        <x:v>load_bearing</x:v>
      </x:c>
      <x:c r="C14" s="60" t="str">
        <x:v>liu2026topology_memory</x:v>
      </x:c>
      <x:c r="D14" s="60" t="str">
        <x:v>Topology Matters: Measuring Memory Leakage in Multi-Agent LLMs</x:v>
      </x:c>
      <x:c r="E14" s="60" t="str">
        <x:v>Findings of ACL 2026</x:v>
      </x:c>
      <x:c r="F14" s="60" t="str">
        <x:v>Canonical Findings of ACL 2026 version confirmed. Metadata is correct.</x:v>
      </x:c>
      <x:c r="G14" s="60" t="str">
        <x:v>source_identity_reviewed</x:v>
      </x:c>
      <x:c r="H14" s="60" t="str">
        <x:v>core_security</x:v>
      </x:c>
      <x:c r="I14" s="60" t="str">
        <x:v>core_security</x:v>
      </x:c>
      <x:c r="J14" s="60" t="str">
        <x:v>attack</x:v>
      </x:c>
      <x:c r="K14" s="60" t="str">
        <x:v>benchmark; evaluation; attack study</x:v>
      </x:c>
      <x:c r="L14" s="60" t="str">
        <x:v>Private memory originates at one agent and reaches an unauthorized member only through topology-conditioned communication and memory updates.</x:v>
      </x:c>
      <x:c r="M14" s="60" t="str">
        <x:v>load_bearing_source_review</x:v>
      </x:c>
      <x:c r="N14" s="60" t="str">
        <x:v>F2 cross-principal confidentiality violation.</x:v>
      </x:c>
      <x:c r="O14" s="60" t="str">
        <x:v>ready_after_major_patch</x:v>
      </x:c>
      <x:c r="P14" s="60" t="str">
        <x:v>source_reviewed_pending_author_signoff</x:v>
      </x:c>
      <x:c r="Q14" s="60" t="str">
        <x:v>already_load_bearing</x:v>
      </x:c>
      <x:c r="R14" s="60" t="str">
        <x:v>https://aclanthology.org/2026.findings-acl.1980/</x:v>
      </x:c>
      <x:c r="S14" s="60" t="str">
        <x:v>Yes</x:v>
      </x:c>
      <x:c r="T14" s="60" t="str">
        <x:v>No</x:v>
      </x:c>
      <x:c r="U14" s="60" t="str">
        <x:v>No</x:v>
      </x:c>
    </x:row>
    <x:row r="15">
      <x:c r="A15" s="60" t="n">
        <x:v>14</x:v>
      </x:c>
      <x:c r="B15" s="60" t="str">
        <x:v>load_bearing</x:v>
      </x:c>
      <x:c r="C15" s="60" t="str">
        <x:v>he2025communication_attacks</x:v>
      </x:c>
      <x:c r="D15" s="60" t="str">
        <x:v>Red-Teaming LLM Multi-Agent Systems via Communication Attacks</x:v>
      </x:c>
      <x:c r="E15" s="60" t="str">
        <x:v>Findings of ACL 2025</x:v>
      </x:c>
      <x:c r="F15" s="60" t="str">
        <x:v>Canonical Findings of ACL 2025 version confirmed. Metadata is correct.</x:v>
      </x:c>
      <x:c r="G15" s="60" t="str">
        <x:v>source_identity_reviewed</x:v>
      </x:c>
      <x:c r="H15" s="60" t="str">
        <x:v>core_security</x:v>
      </x:c>
      <x:c r="I15" s="60" t="str">
        <x:v>core_security</x:v>
      </x:c>
      <x:c r="J15" s="60" t="str">
        <x:v>attack</x:v>
      </x:c>
      <x:c r="K15" s="60" t="str">
        <x:v>attack; evaluation</x:v>
      </x:c>
      <x:c r="L15" s="60" t="str">
        <x:v>The attack changes only messages between agents while leaving endpoint models uncompromised.</x:v>
      </x:c>
      <x:c r="M15" s="60" t="str">
        <x:v>load_bearing_source_review</x:v>
      </x:c>
      <x:c r="N15" s="60" t="str">
        <x:v>F3 communication integrity failure.</x:v>
      </x:c>
      <x:c r="O15" s="60" t="str">
        <x:v>ready_after_minor_patch</x:v>
      </x:c>
      <x:c r="P15" s="60" t="str">
        <x:v>source_reviewed_pending_author_signoff</x:v>
      </x:c>
      <x:c r="Q15" s="60" t="str">
        <x:v>already_load_bearing</x:v>
      </x:c>
      <x:c r="R15" s="60" t="str">
        <x:v>https://aclanthology.org/2025.findings-acl.349/</x:v>
      </x:c>
      <x:c r="S15" s="60" t="str">
        <x:v>Yes</x:v>
      </x:c>
      <x:c r="T15" s="60" t="str">
        <x:v>No</x:v>
      </x:c>
      <x:c r="U15" s="60" t="str">
        <x:v>No</x:v>
      </x:c>
    </x:row>
    <x:row r="16">
      <x:c r="A16" s="60" t="n">
        <x:v>15</x:v>
      </x:c>
      <x:c r="B16" s="60" t="str">
        <x:v>load_bearing</x:v>
      </x:c>
      <x:c r="C16" s="60" t="str">
        <x:v>liu2025collective_manipulation</x:v>
      </x:c>
      <x:c r="D16" s="60" t="str">
        <x:v>Can an Individual Manipulate the Collective Decisions of Multi-Agents?</x:v>
      </x:c>
      <x:c r="E16" s="60" t="str">
        <x:v>EMNLP 2025</x:v>
      </x:c>
      <x:c r="F16" s="60" t="str">
        <x:v>Canonical EMNLP 2025 version confirmed. Metadata is correct.</x:v>
      </x:c>
      <x:c r="G16" s="60" t="str">
        <x:v>source_identity_reviewed</x:v>
      </x:c>
      <x:c r="H16" s="60" t="str">
        <x:v>core_security</x:v>
      </x:c>
      <x:c r="I16" s="60" t="str">
        <x:v>core_security</x:v>
      </x:c>
      <x:c r="J16" s="60" t="str">
        <x:v>attack</x:v>
      </x:c>
      <x:c r="K16" s="60" t="str">
        <x:v>attack; defense evaluation; empirical study</x:v>
      </x:c>
      <x:c r="L16" s="60" t="str">
        <x:v>The attacker manipulates one known member and optimizes for a change in the collective decision under incomplete information about the rest of the group.</x:v>
      </x:c>
      <x:c r="M16" s="60" t="str">
        <x:v>load_bearing_source_review</x:v>
      </x:c>
      <x:c r="N16" s="60" t="str">
        <x:v>F4 collective task-decision integrity failure.</x:v>
      </x:c>
      <x:c r="O16" s="60" t="str">
        <x:v>ready_after_minor_patch</x:v>
      </x:c>
      <x:c r="P16" s="60" t="str">
        <x:v>source_reviewed_pending_author_signoff</x:v>
      </x:c>
      <x:c r="Q16" s="60" t="str">
        <x:v>already_load_bearing</x:v>
      </x:c>
      <x:c r="R16" s="60" t="str">
        <x:v>https://aclanthology.org/2025.emnlp-main.611/</x:v>
      </x:c>
      <x:c r="S16" s="60" t="str">
        <x:v>Yes</x:v>
      </x:c>
      <x:c r="T16" s="60" t="str">
        <x:v>No</x:v>
      </x:c>
      <x:c r="U16" s="60" t="str">
        <x:v>No</x:v>
      </x:c>
    </x:row>
    <x:row r="17">
      <x:c r="A17" s="60" t="n">
        <x:v>16</x:v>
      </x:c>
      <x:c r="B17" s="60" t="str">
        <x:v>load_bearing</x:v>
      </x:c>
      <x:c r="C17" s="60" t="str">
        <x:v>zheng2026byzantine_reliability</x:v>
      </x:c>
      <x:c r="D17" s="60" t="str">
        <x:v>Rethinking the Reliability of Multi-agent System: A Perspective from Byzantine Fault Tolerance</x:v>
      </x:c>
      <x:c r="E17" s="60" t="str">
        <x:v>AAAI 2026, pp. 35012 to 35020</x:v>
      </x:c>
      <x:c r="F17" s="60" t="str">
        <x:v>Canonical AAAI title uses singular 'System'. The current record should match the OJS and PDF title exactly.</x:v>
      </x:c>
      <x:c r="G17" s="60" t="str">
        <x:v>source_identity_reviewed</x:v>
      </x:c>
      <x:c r="H17" s="60" t="str">
        <x:v>core_security</x:v>
      </x:c>
      <x:c r="I17" s="60" t="str">
        <x:v>core_security</x:v>
      </x:c>
      <x:c r="J17" s="60" t="str">
        <x:v>attack</x:v>
      </x:c>
      <x:c r="K17" s="60" t="str">
        <x:v>defense; evaluation; fault study</x:v>
      </x:c>
      <x:c r="L17" s="60" t="str">
        <x:v>Faulty members inject wrong answers through graph edges and a collective procedure aggregates them; the effect depends on fault count, placement, topology, and aggregation.</x:v>
      </x:c>
      <x:c r="M17" s="60" t="str">
        <x:v>load_bearing_source_review</x:v>
      </x:c>
      <x:c r="N17" s="60" t="str">
        <x:v>F4 collective task-decision integrity failure.</x:v>
      </x:c>
      <x:c r="O17" s="60" t="str">
        <x:v>ready_after_major_patch</x:v>
      </x:c>
      <x:c r="P17" s="60" t="str">
        <x:v>source_reviewed_pending_author_signoff</x:v>
      </x:c>
      <x:c r="Q17" s="60" t="str">
        <x:v>already_load_bearing</x:v>
      </x:c>
      <x:c r="R17" s="60" t="str">
        <x:v>https://ojs.aaai.org/index.php/AAAI/article/view/40806</x:v>
      </x:c>
      <x:c r="S17" s="60" t="str">
        <x:v>Yes</x:v>
      </x:c>
      <x:c r="T17" s="60" t="str">
        <x:v>No</x:v>
      </x:c>
      <x:c r="U17" s="60" t="str">
        <x:v>No</x:v>
      </x:c>
    </x:row>
    <x:row r="18">
      <x:c r="A18" s="60" t="n">
        <x:v>17</x:v>
      </x:c>
      <x:c r="B18" s="60" t="str">
        <x:v>load_bearing</x:v>
      </x:c>
      <x:c r="C18" s="60" t="str">
        <x:v>triedman2025malicious_code</x:v>
      </x:c>
      <x:c r="D18" s="60" t="str">
        <x:v>Multi-Agent Systems Execute Arbitrary Malicious Code</x:v>
      </x:c>
      <x:c r="E18" s="60" t="str">
        <x:v>COLM 2025</x:v>
      </x:c>
      <x:c r="F18" s="60" t="str">
        <x:v>Published COLM 2025 record and arXiv version lineage confirmed. Use the conference record as canonical.</x:v>
      </x:c>
      <x:c r="G18" s="60" t="str">
        <x:v>source_identity_reviewed</x:v>
      </x:c>
      <x:c r="H18" s="60" t="str">
        <x:v>core_security</x:v>
      </x:c>
      <x:c r="I18" s="60" t="str">
        <x:v>core_security</x:v>
      </x:c>
      <x:c r="J18" s="60" t="str">
        <x:v>attack</x:v>
      </x:c>
      <x:c r="K18" s="60" t="str">
        <x:v>attack; evaluation</x:v>
      </x:c>
      <x:c r="L18" s="60" t="str">
        <x:v>Untrusted content hijacks multi-agent control flow and routing to invoke otherwise unreachable unsafe agents or functions.</x:v>
      </x:c>
      <x:c r="M18" s="60" t="str">
        <x:v>load_bearing_source_review</x:v>
      </x:c>
      <x:c r="N18" s="60" t="str">
        <x:v>F6 delegation, authority, and control-flow integrity failure.</x:v>
      </x:c>
      <x:c r="O18" s="60" t="str">
        <x:v>ready_after_minor_patch</x:v>
      </x:c>
      <x:c r="P18" s="60" t="str">
        <x:v>source_reviewed_pending_author_signoff</x:v>
      </x:c>
      <x:c r="Q18" s="60" t="str">
        <x:v>already_load_bearing</x:v>
      </x:c>
      <x:c r="R18" s="60" t="str">
        <x:v>https://openreview.net/forum?id=DAozI4etUp</x:v>
      </x:c>
      <x:c r="S18" s="60" t="str">
        <x:v>Yes</x:v>
      </x:c>
      <x:c r="T18" s="60" t="str">
        <x:v>No</x:v>
      </x:c>
      <x:c r="U18" s="60" t="str">
        <x:v>Yes</x:v>
      </x:c>
    </x:row>
    <x:row r="19">
      <x:c r="A19" s="60" t="n">
        <x:v>18</x:v>
      </x:c>
      <x:c r="B19" s="60" t="str">
        <x:v>load_bearing</x:v>
      </x:c>
      <x:c r="C19" s="60" t="str">
        <x:v>arif2026conjunctive</x:v>
      </x:c>
      <x:c r="D19" s="60" t="str">
        <x:v>Conjunctive Prompt Attacks in Multi-Agent LLM Systems</x:v>
      </x:c>
      <x:c r="E19" s="60" t="str">
        <x:v>ACL 2026</x:v>
      </x:c>
      <x:c r="F19" s="60" t="str">
        <x:v>Canonical ACL 2026 version confirmed. Metadata is correct.</x:v>
      </x:c>
      <x:c r="G19" s="60" t="str">
        <x:v>source_identity_reviewed</x:v>
      </x:c>
      <x:c r="H19" s="60" t="str">
        <x:v>core_security</x:v>
      </x:c>
      <x:c r="I19" s="60" t="str">
        <x:v>core_security</x:v>
      </x:c>
      <x:c r="J19" s="60" t="str">
        <x:v>attack</x:v>
      </x:c>
      <x:c r="K19" s="60" t="str">
        <x:v>attack; evaluation</x:v>
      </x:c>
      <x:c r="L19" s="60" t="str">
        <x:v>A user trigger and a compromised remote-agent template are benign in isolation and become harmful only when routing composes them.</x:v>
      </x:c>
      <x:c r="M19" s="60" t="str">
        <x:v>load_bearing_source_review</x:v>
      </x:c>
      <x:c r="N19" s="60" t="str">
        <x:v>F3 communication, context, or action integrity failure.</x:v>
      </x:c>
      <x:c r="O19" s="60" t="str">
        <x:v>ready_after_major_patch</x:v>
      </x:c>
      <x:c r="P19" s="60" t="str">
        <x:v>source_reviewed_pending_author_signoff</x:v>
      </x:c>
      <x:c r="Q19" s="60" t="str">
        <x:v>already_load_bearing</x:v>
      </x:c>
      <x:c r="R19" s="60" t="str">
        <x:v>https://aclanthology.org/2026.acl-long.1577/</x:v>
      </x:c>
      <x:c r="S19" s="60" t="str">
        <x:v>Yes</x:v>
      </x:c>
      <x:c r="T19" s="60" t="str">
        <x:v>No</x:v>
      </x:c>
      <x:c r="U19" s="60" t="str">
        <x:v>No</x:v>
      </x:c>
    </x:row>
    <x:row r="20">
      <x:c r="A20" s="60" t="n">
        <x:v>19</x:v>
      </x:c>
      <x:c r="B20" s="60" t="str">
        <x:v>load_bearing</x:v>
      </x:c>
      <x:c r="C20" s="60" t="str">
        <x:v>zhao2026parasites</x:v>
      </x:c>
      <x:c r="D20" s="60" t="str">
        <x:v>Parasites in the Toolchain: A Large-Scale Analysis of Attacks on the MCP Ecosystem</x:v>
      </x:c>
      <x:c r="E20" s="60" t="str">
        <x:v>IEEE Symposium on Security and Privacy 2026, pp. 138 to 155</x:v>
      </x:c>
      <x:c r="F20" s="60" t="str">
        <x:v>Accepted and published at IEEE S&amp;P 2026. Replace the arXiv-only venue record with final IEEE proceedings metadata while keeping the accepted arXiv version linked.</x:v>
      </x:c>
      <x:c r="G20" s="60" t="str">
        <x:v>source_identity_reviewed</x:v>
      </x:c>
      <x:c r="H20" s="60" t="str">
        <x:v>core_security</x:v>
      </x:c>
      <x:c r="I20" s="60" t="str">
        <x:v>security_relevant</x:v>
      </x:c>
      <x:c r="J20" s="60" t="str">
        <x:v>attack</x:v>
      </x:c>
      <x:c r="K20" s="60" t="str">
        <x:v>attack; measurement; ecosystem evaluation</x:v>
      </x:c>
      <x:c r="L20" s="60" t="str">
        <x:v>The system is one LLM host composing multiple MCP servers and tools. It is directly relevant to distributed capability composition but does not necessarily contain multiple independently stateful LLM agent cores.</x:v>
      </x:c>
      <x:c r="M20" s="60" t="str">
        <x:v>load_bearing_source_review</x:v>
      </x:c>
      <x:c r="N20" s="60" t="str">
        <x:v>F6 least-privilege and authority integrity failure.</x:v>
      </x:c>
      <x:c r="O20" s="60" t="str">
        <x:v>ready_after_major_patch</x:v>
      </x:c>
      <x:c r="P20" s="60" t="str">
        <x:v>source_reviewed_pending_author_signoff</x:v>
      </x:c>
      <x:c r="Q20" s="60" t="str">
        <x:v>already_load_bearing</x:v>
      </x:c>
      <x:c r="R20" s="60" t="str">
        <x:v>https://arxiv.org/abs/2509.06572</x:v>
      </x:c>
      <x:c r="S20" s="60" t="str">
        <x:v>Yes</x:v>
      </x:c>
      <x:c r="T20" s="60" t="str">
        <x:v>Yes</x:v>
      </x:c>
      <x:c r="U20" s="60" t="str">
        <x:v>Yes</x:v>
      </x:c>
    </x:row>
    <x:row r="21">
      <x:c r="A21" s="60" t="n">
        <x:v>20</x:v>
      </x:c>
      <x:c r="B21" s="60" t="str">
        <x:v>load_bearing</x:v>
      </x:c>
      <x:c r="C21" s="60" t="str">
        <x:v>li2026a2asecbench</x:v>
      </x:c>
      <x:c r="D21" s="60" t="str">
        <x:v>A2ASecBench: A Protocol-Aware Security Benchmark for Agent-to-Agent Multi-Agent Systems</x:v>
      </x:c>
      <x:c r="E21" s="60" t="str">
        <x:v>ICLR 2026</x:v>
      </x:c>
      <x:c r="F21" s="60" t="str">
        <x:v>Official ICLR program and project repository confirm title, authors, and ICLR 2026 status. No DOI is reported. The full OpenReview PDF was not reliably retrievable during this audit, so exact page and table locators remain pending.</x:v>
      </x:c>
      <x:c r="G21" s="60" t="str">
        <x:v>blocked_exact_source</x:v>
      </x:c>
      <x:c r="H21" s="60" t="str">
        <x:v>core_security</x:v>
      </x:c>
      <x:c r="I21" s="60" t="str">
        <x:v>core_security</x:v>
      </x:c>
      <x:c r="J21" s="60" t="str">
        <x:v>attack</x:v>
      </x:c>
      <x:c r="K21" s="60" t="str">
        <x:v>benchmark; evaluation; attack suite</x:v>
      </x:c>
      <x:c r="L21" s="60" t="str">
        <x:v>The benchmark targets heterogeneous client and remote agents communicating through the A2A protocol across discovery, task state, requests, and artifacts.</x:v>
      </x:c>
      <x:c r="M21" s="60" t="str">
        <x:v>load_bearing_source_review</x:v>
      </x:c>
      <x:c r="N21" s="60" t="str">
        <x:v>Claim-level identity, confidentiality, integrity, or availability failures.</x:v>
      </x:c>
      <x:c r="O21" s="60" t="str">
        <x:v>pending_exact_full-text_verification</x:v>
      </x:c>
      <x:c r="P21" s="60" t="str">
        <x:v>blocked_pending_exact_source</x:v>
      </x:c>
      <x:c r="Q21" s="60" t="str">
        <x:v>already_load_bearing</x:v>
      </x:c>
      <x:c r="R21" s="60" t="str">
        <x:v>https://iclr.cc/virtual/2026/poster/10010017</x:v>
      </x:c>
      <x:c r="S21" s="60" t="str">
        <x:v>Yes</x:v>
      </x:c>
      <x:c r="T21" s="60" t="str">
        <x:v>No</x:v>
      </x:c>
      <x:c r="U21" s="60" t="str">
        <x:v>No</x:v>
      </x:c>
    </x:row>
    <x:row r="22">
      <x:c r="A22" s="60" t="n">
        <x:v>21</x:v>
      </x:c>
      <x:c r="B22" s="60" t="str">
        <x:v>standard_attack</x:v>
      </x:c>
      <x:c r="C22" s="60" t="str">
        <x:v>zhang2024psysafe</x:v>
      </x:c>
      <x:c r="D22" s="60" t="str">
        <x:v>PsySafe: A Comprehensive Framework for Psychological-based Attack, Defense, and Evaluation of Multi-agent System Safety</x:v>
      </x:c>
      <x:c r="E22" s="60" t="str">
        <x:v>ACL 2024, Long Papers</x:v>
      </x:c>
      <x:c r="F22" s="60" t="str">
        <x:v>Published archival ACL version; use ACL PDF as canonical.</x:v>
      </x:c>
      <x:c r="G22" s="60" t="str">
        <x:v>Verified. Queue title omitted the comma after Attack; canonical ACL title includes “Attack, Defense, and Evaluation”.</x:v>
      </x:c>
      <x:c r="H22" s="60" t="str">
        <x:v>core_security</x:v>
      </x:c>
      <x:c r="I22" s="60" t="str">
        <x:v>security_relevant</x:v>
      </x:c>
      <x:c r="J22" s="60" t="str">
        <x:v>attack</x:v>
      </x:c>
      <x:c r="K22" s="60" t="str">
        <x:v>evaluation</x:v>
      </x:c>
      <x:c r="L22" s="60" t="str">
        <x:v>Yes. Evaluates separately prompted agent roles in Camel, AutoGen, MetaGPT, and AutoGPT with multi-round interaction.</x:v>
      </x:c>
      <x:c r="M22" s="60" t="str">
        <x:v>confirmed_attack_bearing</x:v>
      </x:c>
      <x:c r="N22" s="60" t="str">
        <x:v>Collective safety and decision-integrity degradation; not a clean confidentiality/authorization attack.</x:v>
      </x:c>
      <x:c r="O22" s="60" t="str">
        <x:v>ready_after_major_patch</x:v>
      </x:c>
      <x:c r="P22" s="60" t="str">
        <x:v>assistant_source_reviewed_pending_author_signoff</x:v>
      </x:c>
      <x:c r="Q22" s="60" t="str">
        <x:v>no</x:v>
      </x:c>
      <x:c r="R22" s="60" t="str">
        <x:v>https://aclanthology.org/2024.acl-long.812/</x:v>
      </x:c>
      <x:c r="S22" s="60" t="str">
        <x:v>Yes</x:v>
      </x:c>
      <x:c r="T22" s="60" t="str">
        <x:v>Yes</x:v>
      </x:c>
      <x:c r="U22" s="60" t="str">
        <x:v>No</x:v>
      </x:c>
    </x:row>
    <x:row r="23">
      <x:c r="A23" s="60" t="n">
        <x:v>22</x:v>
      </x:c>
      <x:c r="B23" s="60" t="str">
        <x:v>standard_attack</x:v>
      </x:c>
      <x:c r="C23" s="60" t="str">
        <x:v>amayuelas2024collaboration_attack</x:v>
      </x:c>
      <x:c r="D23" s="60" t="str">
        <x:v>MultiAgent Collaboration Attack: Investigating Adversarial Attacks in Large Language Model Collaborations via Debate</x:v>
      </x:c>
      <x:c r="E23" s="60" t="str">
        <x:v>Findings of EMNLP 2024</x:v>
      </x:c>
      <x:c r="F23" s="60" t="str">
        <x:v>Published archival Findings version; canonical.</x:v>
      </x:c>
      <x:c r="G23" s="60" t="str">
        <x:v>Verified.</x:v>
      </x:c>
      <x:c r="H23" s="60" t="str">
        <x:v>core_security</x:v>
      </x:c>
      <x:c r="I23" s="60" t="str">
        <x:v>core_security</x:v>
      </x:c>
      <x:c r="J23" s="60" t="str">
        <x:v>attack</x:v>
      </x:c>
      <x:c r="K23" s="60" t="str">
        <x:v>attack</x:v>
      </x:c>
      <x:c r="L23" s="60" t="str">
        <x:v>Yes. Multiple independently instantiated LLMs answer, exchange responses, and revise over debate rounds.</x:v>
      </x:c>
      <x:c r="M23" s="60" t="str">
        <x:v>confirmed_attack_bearing</x:v>
      </x:c>
      <x:c r="N23" s="60" t="str">
        <x:v>Collective decision integrity failure.</x:v>
      </x:c>
      <x:c r="O23" s="60" t="str">
        <x:v>ready_after_minor_patch</x:v>
      </x:c>
      <x:c r="P23" s="60" t="str">
        <x:v>assistant_source_reviewed_pending_author_signoff</x:v>
      </x:c>
      <x:c r="Q23" s="60" t="str">
        <x:v>yes</x:v>
      </x:c>
      <x:c r="R23" s="60" t="str">
        <x:v>https://aclanthology.org/2024.findings-emnlp.407/</x:v>
      </x:c>
      <x:c r="S23" s="60" t="str">
        <x:v>No</x:v>
      </x:c>
      <x:c r="T23" s="60" t="str">
        <x:v>No</x:v>
      </x:c>
      <x:c r="U23" s="60" t="str">
        <x:v>No</x:v>
      </x:c>
    </x:row>
    <x:row r="24">
      <x:c r="A24" s="60" t="n">
        <x:v>23</x:v>
      </x:c>
      <x:c r="B24" s="60" t="str">
        <x:v>standard_attack</x:v>
      </x:c>
      <x:c r="C24" s="60" t="str">
        <x:v>khan2025agents_under_siege</x:v>
      </x:c>
      <x:c r="D24" s="60" t="str">
        <x:v>Agents Under Siege: Breaking Pragmatic Multi-Agent LLM Systems with Optimized Prompt Attacks</x:v>
      </x:c>
      <x:c r="E24" s="60" t="str">
        <x:v>ACL 2025, Long Papers</x:v>
      </x:c>
      <x:c r="F24" s="60" t="str">
        <x:v>Published archival ACL version; canonical.</x:v>
      </x:c>
      <x:c r="G24" s="60" t="str">
        <x:v>Verified.</x:v>
      </x:c>
      <x:c r="H24" s="60" t="str">
        <x:v>core_security</x:v>
      </x:c>
      <x:c r="I24" s="60" t="str">
        <x:v>core_security</x:v>
      </x:c>
      <x:c r="J24" s="60" t="str">
        <x:v>attack</x:v>
      </x:c>
      <x:c r="K24" s="60" t="str">
        <x:v>attack</x:v>
      </x:c>
      <x:c r="L24" s="60" t="str">
        <x:v>Yes in the paper’s graph abstraction: LLM vertices communicate over bandwidth/latency-constrained edges and chunks traverse the network.</x:v>
      </x:c>
      <x:c r="M24" s="60" t="str">
        <x:v>confirmed_attack_bearing</x:v>
      </x:c>
      <x:c r="N24" s="60" t="str">
        <x:v>Target-agent safety/instruction integrity failure; graph-mediated jailbreak. Population compromise is not directly measured.</x:v>
      </x:c>
      <x:c r="O24" s="60" t="str">
        <x:v>ready_after_major_patch</x:v>
      </x:c>
      <x:c r="P24" s="60" t="str">
        <x:v>assistant_source_reviewed_pending_author_signoff</x:v>
      </x:c>
      <x:c r="Q24" s="60" t="str">
        <x:v>yes</x:v>
      </x:c>
      <x:c r="R24" s="60" t="str">
        <x:v>https://aclanthology.org/2025.acl-long.476/</x:v>
      </x:c>
      <x:c r="S24" s="60" t="str">
        <x:v>No</x:v>
      </x:c>
      <x:c r="T24" s="60" t="str">
        <x:v>No</x:v>
      </x:c>
      <x:c r="U24" s="60" t="str">
        <x:v>No</x:v>
      </x:c>
    </x:row>
    <x:row r="25">
      <x:c r="A25" s="60" t="n">
        <x:v>24</x:v>
      </x:c>
      <x:c r="B25" s="60" t="str">
        <x:v>standard_attack</x:v>
      </x:c>
      <x:c r="C25" s="60" t="str">
        <x:v>peigne2025security_tax</x:v>
      </x:c>
      <x:c r="D25" s="60" t="str">
        <x:v>Multi-Agent Security Tax: Trading Off Security and Collaboration Capabilities in Multi-Agent Systems</x:v>
      </x:c>
      <x:c r="E25" s="60" t="str">
        <x:v>AAAI 2025, Special Track on AI Alignment</x:v>
      </x:c>
      <x:c r="F25" s="60" t="str">
        <x:v>Published AAAI version; arXiv v2 is an expanded accessible version. Use proceedings metadata and reconcile author-name rendering with PDF.</x:v>
      </x:c>
      <x:c r="G25" s="60" t="str">
        <x:v>Verified with one metadata normalization issue: arXiv indexes the first author as Pierre Peigne-Lefebvre while the AAAI PDF/proceedings render Pierre Peigné.</x:v>
      </x:c>
      <x:c r="H25" s="60" t="str">
        <x:v>core_security</x:v>
      </x:c>
      <x:c r="I25" s="60" t="str">
        <x:v>core_security</x:v>
      </x:c>
      <x:c r="J25" s="60" t="str">
        <x:v>attack</x:v>
      </x:c>
      <x:c r="K25" s="60" t="str">
        <x:v>attack</x:v>
      </x:c>
      <x:c r="L25" s="60" t="str">
        <x:v>Yes. Seven role-specific agents exchange asynchronous messages and can execute code.</x:v>
      </x:c>
      <x:c r="M25" s="60" t="str">
        <x:v>confirmed_attack_bearing</x:v>
      </x:c>
      <x:c r="N25" s="60" t="str">
        <x:v>Compromise containment and action-integrity failure.</x:v>
      </x:c>
      <x:c r="O25" s="60" t="str">
        <x:v>ready_after_minor_patch</x:v>
      </x:c>
      <x:c r="P25" s="60" t="str">
        <x:v>assistant_source_reviewed_pending_author_signoff</x:v>
      </x:c>
      <x:c r="Q25" s="60" t="str">
        <x:v>yes</x:v>
      </x:c>
      <x:c r="R25" s="60" t="str">
        <x:v>https://ojs.aaai.org/index.php/AAAI/article/view/34970</x:v>
      </x:c>
      <x:c r="S25" s="60" t="str">
        <x:v>No</x:v>
      </x:c>
      <x:c r="T25" s="60" t="str">
        <x:v>No</x:v>
      </x:c>
      <x:c r="U25" s="60" t="str">
        <x:v>Yes</x:v>
      </x:c>
    </x:row>
    <x:row r="26">
      <x:c r="A26" s="60" t="n">
        <x:v>25</x:v>
      </x:c>
      <x:c r="B26" s="60" t="str">
        <x:v>standard_attack</x:v>
      </x:c>
      <x:c r="C26" s="60" t="str">
        <x:v>zhang2025allies_foes</x:v>
      </x:c>
      <x:c r="D26" s="60" t="str">
        <x:v>When Allies Turn Foes: Exploring Group Characteristics of LLM-Based Multi-Agent Collaborative Systems Under Adversarial Attacks</x:v>
      </x:c>
      <x:c r="E26" s="60" t="str">
        <x:v>Findings of EMNLP 2025</x:v>
      </x:c>
      <x:c r="F26" s="60" t="str">
        <x:v>Published archival Findings of EMNLP version; use ACL PDF as canonical.</x:v>
      </x:c>
      <x:c r="G26" s="60" t="str">
        <x:v>Verified against ACL Anthology and PDF.</x:v>
      </x:c>
      <x:c r="H26" s="60" t="str">
        <x:v>core_security</x:v>
      </x:c>
      <x:c r="I26" s="60" t="str">
        <x:v>core_security</x:v>
      </x:c>
      <x:c r="J26" s="60" t="str">
        <x:v>attack</x:v>
      </x:c>
      <x:c r="K26" s="60" t="str">
        <x:v>attack</x:v>
      </x:c>
      <x:c r="L26" s="60" t="str">
        <x:v>Yes. Independently responding collaborative and adversarial agents exchange full response histories over multiple rounds under three communication schedules.</x:v>
      </x:c>
      <x:c r="M26" s="60" t="str">
        <x:v>confirmed_attack_bearing</x:v>
      </x:c>
      <x:c r="N26" s="60" t="str">
        <x:v>Collective decision-integrity failure.</x:v>
      </x:c>
      <x:c r="O26" s="60" t="str">
        <x:v>ready_after_minor_patch</x:v>
      </x:c>
      <x:c r="P26" s="60" t="str">
        <x:v>assistant_source_reviewed_pending_author_signoff</x:v>
      </x:c>
      <x:c r="Q26" s="60" t="str">
        <x:v>yes</x:v>
      </x:c>
      <x:c r="R26" s="60" t="str">
        <x:v>https://aclanthology.org/2025.findings-emnlp.333/</x:v>
      </x:c>
      <x:c r="S26" s="60" t="str">
        <x:v>No</x:v>
      </x:c>
      <x:c r="T26" s="60" t="str">
        <x:v>No</x:v>
      </x:c>
      <x:c r="U26" s="60" t="str">
        <x:v>No</x:v>
      </x:c>
    </x:row>
    <x:row r="27">
      <x:c r="A27" s="60" t="n">
        <x:v>26</x:v>
      </x:c>
      <x:c r="B27" s="60" t="str">
        <x:v>standard_attack</x:v>
      </x:c>
      <x:c r="C27" s="60" t="str">
        <x:v>zhu2025master</x:v>
      </x:c>
      <x:c r="D27" s="60" t="str">
        <x:v>MASTER: Multi-Agent Security Through Exploration of Roles and Topological Structures - A Comprehensive Framework</x:v>
      </x:c>
      <x:c r="E27" s="60" t="str">
        <x:v>Findings of EMNLP 2025</x:v>
      </x:c>
      <x:c r="F27" s="60" t="str">
        <x:v>Published archival Findings of EMNLP version; use ACL PDF as canonical.</x:v>
      </x:c>
      <x:c r="G27" s="60" t="str">
        <x:v>Verified against ACL Anthology.</x:v>
      </x:c>
      <x:c r="H27" s="60" t="str">
        <x:v>core_security</x:v>
      </x:c>
      <x:c r="I27" s="60" t="str">
        <x:v>core_security</x:v>
      </x:c>
      <x:c r="J27" s="60" t="str">
        <x:v>attack</x:v>
      </x:c>
      <x:c r="K27" s="60" t="str">
        <x:v>evaluation</x:v>
      </x:c>
      <x:c r="L27" s="60" t="str">
        <x:v>Yes. The framework constructs role-distinct agents connected by directed information-flow topologies and attacks their coordinated execution.</x:v>
      </x:c>
      <x:c r="M27" s="60" t="str">
        <x:v>confirmed_attack_bearing</x:v>
      </x:c>
      <x:c r="N27" s="60" t="str">
        <x:v>Collective action and objective-integrity failure.</x:v>
      </x:c>
      <x:c r="O27" s="60" t="str">
        <x:v>ready_after_major_patch</x:v>
      </x:c>
      <x:c r="P27" s="60" t="str">
        <x:v>assistant_source_reviewed_pending_author_signoff</x:v>
      </x:c>
      <x:c r="Q27" s="60" t="str">
        <x:v>yes</x:v>
      </x:c>
      <x:c r="R27" s="60" t="str">
        <x:v>https://aclanthology.org/2025.findings-emnlp.917/</x:v>
      </x:c>
      <x:c r="S27" s="60" t="str">
        <x:v>Yes</x:v>
      </x:c>
      <x:c r="T27" s="60" t="str">
        <x:v>No</x:v>
      </x:c>
      <x:c r="U27" s="60" t="str">
        <x:v>No</x:v>
      </x:c>
    </x:row>
    <x:row r="28">
      <x:c r="A28" s="60" t="n">
        <x:v>27</x:v>
      </x:c>
      <x:c r="B28" s="60" t="str">
        <x:v>standard_attack</x:v>
      </x:c>
      <x:c r="C28" s="60" t="str">
        <x:v>zhang2025breaking_agents</x:v>
      </x:c>
      <x:c r="D28" s="60" t="str">
        <x:v>Breaking Agents: Compromising Autonomous LLM Agents Through Malfunction Amplification</x:v>
      </x:c>
      <x:c r="E28" s="60" t="str">
        <x:v>EMNLP 2025</x:v>
      </x:c>
      <x:c r="F28" s="60" t="str">
        <x:v>Published archival EMNLP version; use ACL PDF as canonical.</x:v>
      </x:c>
      <x:c r="G28" s="60" t="str">
        <x:v>Verified against ACL Anthology/PDF.</x:v>
      </x:c>
      <x:c r="H28" s="60" t="str">
        <x:v>core_security</x:v>
      </x:c>
      <x:c r="I28" s="60" t="str">
        <x:v>security_relevant</x:v>
      </x:c>
      <x:c r="J28" s="60" t="str">
        <x:v>attack</x:v>
      </x:c>
      <x:c r="K28" s="60" t="str">
        <x:v>attack</x:v>
      </x:c>
      <x:c r="L28" s="60" t="str">
        <x:v>Partly. Most of the paper evaluates single autonomous agents; a dedicated advanced-attack subsection uses separately instantiated Gmail and CSV agents in same-type and chain workflows.</x:v>
      </x:c>
      <x:c r="M28" s="60" t="str">
        <x:v>confirmed_attack_bearing</x:v>
      </x:c>
      <x:c r="N28" s="60" t="str">
        <x:v>Availability/resource boundedness and task/action integrity failure.</x:v>
      </x:c>
      <x:c r="O28" s="60" t="str">
        <x:v>ready_after_major_patch</x:v>
      </x:c>
      <x:c r="P28" s="60" t="str">
        <x:v>assistant_source_reviewed_pending_author_signoff</x:v>
      </x:c>
      <x:c r="Q28" s="60" t="str">
        <x:v>no</x:v>
      </x:c>
      <x:c r="R28" s="60" t="str">
        <x:v>https://aclanthology.org/2025.emnlp-main.1771/</x:v>
      </x:c>
      <x:c r="S28" s="60" t="str">
        <x:v>No</x:v>
      </x:c>
      <x:c r="T28" s="60" t="str">
        <x:v>Yes</x:v>
      </x:c>
      <x:c r="U28" s="60" t="str">
        <x:v>No</x:v>
      </x:c>
    </x:row>
    <x:row r="29">
      <x:c r="A29" s="60" t="n">
        <x:v>28</x:v>
      </x:c>
      <x:c r="B29" s="60" t="str">
        <x:v>standard_attack</x:v>
      </x:c>
      <x:c r="C29" s="60" t="str">
        <x:v>yan2026evo_attacker</x:v>
      </x:c>
      <x:c r="D29" s="60" t="str">
        <x:v>Evo-Attacker: Memory-Augmented Reinforcement Learning for Long-Horizon Tool Attacks on LLM-MAS</x:v>
      </x:c>
      <x:c r="E29" s="60" t="str">
        <x:v>ACL 2026</x:v>
      </x:c>
      <x:c r="F29" s="60" t="str">
        <x:v>Published archival ACL version.</x:v>
      </x:c>
      <x:c r="G29" s="60" t="str">
        <x:v>Verified against ACL Anthology/PDF; normalize Jinyu capitalization.</x:v>
      </x:c>
      <x:c r="H29" s="60" t="str">
        <x:v>core_security</x:v>
      </x:c>
      <x:c r="I29" s="60" t="str">
        <x:v>core_security</x:v>
      </x:c>
      <x:c r="J29" s="60" t="str">
        <x:v>attack</x:v>
      </x:c>
      <x:c r="K29" s="60" t="str">
        <x:v>attack</x:v>
      </x:c>
      <x:c r="L29" s="60" t="str">
        <x:v>Yes. A graph-structured MAS with flat, chain, and hierarchical communication is attacked through one agent’s tool-return channel, and local perturbations affect downstream collaboration.</x:v>
      </x:c>
      <x:c r="M29" s="60" t="str">
        <x:v>confirmed_attack_bearing</x:v>
      </x:c>
      <x:c r="N29" s="60" t="str">
        <x:v>Collective task/action-integrity failure.</x:v>
      </x:c>
      <x:c r="O29" s="60" t="str">
        <x:v>ready_after_minor_patch</x:v>
      </x:c>
      <x:c r="P29" s="60" t="str">
        <x:v>assistant_source_reviewed_pending_author_signoff</x:v>
      </x:c>
      <x:c r="Q29" s="60" t="str">
        <x:v>yes</x:v>
      </x:c>
      <x:c r="R29" s="60" t="str">
        <x:v>https://aclanthology.org/2026.acl-long.330/</x:v>
      </x:c>
      <x:c r="S29" s="60" t="str">
        <x:v>No</x:v>
      </x:c>
      <x:c r="T29" s="60" t="str">
        <x:v>No</x:v>
      </x:c>
      <x:c r="U29" s="60" t="str">
        <x:v>No</x:v>
      </x:c>
    </x:row>
    <x:row r="30">
      <x:c r="A30" s="60" t="n">
        <x:v>29</x:v>
      </x:c>
      <x:c r="B30" s="60" t="str">
        <x:v>standard_attack</x:v>
      </x:c>
      <x:c r="C30" s="60" t="str">
        <x:v>yan2026mast</x:v>
      </x:c>
      <x:c r="D30" s="60" t="str">
        <x:v>Attack the Messages, Not the Agents: A Multi-round Adaptive Stealthy Tampering Framework for LLM-MAS</x:v>
      </x:c>
      <x:c r="E30" s="60" t="str">
        <x:v>AAAI 2026, Technical Track on Multiagent Systems</x:v>
      </x:c>
      <x:c r="F30" s="60" t="str">
        <x:v>Published AAAI proceedings version.</x:v>
      </x:c>
      <x:c r="G30" s="60" t="str">
        <x:v>Verified against AAAI publisher page.</x:v>
      </x:c>
      <x:c r="H30" s="60" t="str">
        <x:v>core_security</x:v>
      </x:c>
      <x:c r="I30" s="60" t="str">
        <x:v>core_security</x:v>
      </x:c>
      <x:c r="J30" s="60" t="str">
        <x:v>attack</x:v>
      </x:c>
      <x:c r="K30" s="60" t="str">
        <x:v>attack</x:v>
      </x:c>
      <x:c r="L30" s="60" t="str">
        <x:v>Yes. The adversary rewrites in-transit messages over multiple rounds in flat, chain, and hierarchical MAS without modifying agent internals.</x:v>
      </x:c>
      <x:c r="M30" s="60" t="str">
        <x:v>confirmed_attack_bearing</x:v>
      </x:c>
      <x:c r="N30" s="60" t="str">
        <x:v>Communication integrity and collective task-integrity failure.</x:v>
      </x:c>
      <x:c r="O30" s="60" t="str">
        <x:v>ready_after_minor_patch</x:v>
      </x:c>
      <x:c r="P30" s="60" t="str">
        <x:v>assistant_source_reviewed_pending_author_signoff</x:v>
      </x:c>
      <x:c r="Q30" s="60" t="str">
        <x:v>yes</x:v>
      </x:c>
      <x:c r="R30" s="60" t="str">
        <x:v>https://ojs.aaai.org/index.php/AAAI/article/view/40224</x:v>
      </x:c>
      <x:c r="S30" s="60" t="str">
        <x:v>No</x:v>
      </x:c>
      <x:c r="T30" s="60" t="str">
        <x:v>No</x:v>
      </x:c>
      <x:c r="U30" s="60" t="str">
        <x:v>No</x:v>
      </x:c>
    </x:row>
    <x:row r="31">
      <x:c r="A31" s="60" t="n">
        <x:v>30</x:v>
      </x:c>
      <x:c r="B31" s="60" t="str">
        <x:v>standard_attack</x:v>
      </x:c>
      <x:c r="C31" s="60" t="str">
        <x:v>wang2026shadows_code</x:v>
      </x:c>
      <x:c r="D31" s="60" t="str">
        <x:v>Shadows in the Code: Exploring the Risks and Defenses of LLM-based Multi-Agent Software Development Systems</x:v>
      </x:c>
      <x:c r="E31" s="60" t="str">
        <x:v>AAAI 2026</x:v>
      </x:c>
      <x:c r="F31" s="60" t="str">
        <x:v>Published AAAI proceedings version.</x:v>
      </x:c>
      <x:c r="G31" s="60" t="str">
        <x:v>Metadata matches the AAAI publisher record and repository note; publisher page timed out during this pass, so final PDF signoff is still required.</x:v>
      </x:c>
      <x:c r="H31" s="60" t="str">
        <x:v>core_security</x:v>
      </x:c>
      <x:c r="I31" s="60" t="str">
        <x:v>core_security</x:v>
      </x:c>
      <x:c r="J31" s="60" t="str">
        <x:v>attack</x:v>
      </x:c>
      <x:c r="K31" s="60" t="str">
        <x:v>evaluation</x:v>
      </x:c>
      <x:c r="L31" s="60" t="str">
        <x:v>Yes. Distinct design, coding, and testing roles exchange software artifacts in ChatDev, MetaGPT, and AgentVerse.</x:v>
      </x:c>
      <x:c r="M31" s="60" t="str">
        <x:v>confirmed_attack_bearing</x:v>
      </x:c>
      <x:c r="N31" s="60" t="str">
        <x:v>Compositional software action and artifact-integrity failure.</x:v>
      </x:c>
      <x:c r="O31" s="60" t="str">
        <x:v>ready_after_major_patch</x:v>
      </x:c>
      <x:c r="P31" s="60" t="str">
        <x:v>assistant_source_reviewed_pending_author_signoff</x:v>
      </x:c>
      <x:c r="Q31" s="60" t="str">
        <x:v>yes</x:v>
      </x:c>
      <x:c r="R31" s="60" t="str">
        <x:v>https://ojs.aaai.org/index.php/AAAI/article/view/41134</x:v>
      </x:c>
      <x:c r="S31" s="60" t="str">
        <x:v>Yes</x:v>
      </x:c>
      <x:c r="T31" s="60" t="str">
        <x:v>No</x:v>
      </x:c>
      <x:c r="U31" s="60" t="str">
        <x:v>No</x:v>
      </x:c>
    </x:row>
    <x:row r="32">
      <x:c r="A32" s="60" t="n">
        <x:v>31</x:v>
      </x:c>
      <x:c r="B32" s="60" t="str">
        <x:v>standard_attack</x:v>
      </x:c>
      <x:c r="C32" s="60" t="str">
        <x:v>wu2026cia</x:v>
      </x:c>
      <x:c r="D32" s="60" t="str">
        <x:v>CIA: Inferring the Communication Topology from LLM-based Multi-Agent Systems</x:v>
      </x:c>
      <x:c r="E32" s="60" t="str">
        <x:v>ACL 2026</x:v>
      </x:c>
      <x:c r="F32" s="60" t="str">
        <x:v>Published archival ACL version.</x:v>
      </x:c>
      <x:c r="G32" s="60" t="str">
        <x:v>Verified against ACL Anthology and PDF metadata.</x:v>
      </x:c>
      <x:c r="H32" s="60" t="str">
        <x:v>core_security</x:v>
      </x:c>
      <x:c r="I32" s="60" t="str">
        <x:v>core_security</x:v>
      </x:c>
      <x:c r="J32" s="60" t="str">
        <x:v>attack</x:v>
      </x:c>
      <x:c r="K32" s="60" t="str">
        <x:v>attack</x:v>
      </x:c>
      <x:c r="L32" s="60" t="str">
        <x:v>Yes. The protected object is a hidden inter-agent graph; the attack is undefined for one agent.</x:v>
      </x:c>
      <x:c r="M32" s="60" t="str">
        <x:v>confirmed_attack_bearing</x:v>
      </x:c>
      <x:c r="N32" s="60" t="str">
        <x:v>Structural confidentiality and architecture IP leakage.</x:v>
      </x:c>
      <x:c r="O32" s="60" t="str">
        <x:v>ready_after_minor_patch</x:v>
      </x:c>
      <x:c r="P32" s="60" t="str">
        <x:v>assistant_source_reviewed_pending_author_signoff</x:v>
      </x:c>
      <x:c r="Q32" s="60" t="str">
        <x:v>yes</x:v>
      </x:c>
      <x:c r="R32" s="60" t="str">
        <x:v>https://aclanthology.org/2026.acl-long.815/</x:v>
      </x:c>
      <x:c r="S32" s="60" t="str">
        <x:v>No</x:v>
      </x:c>
      <x:c r="T32" s="60" t="str">
        <x:v>No</x:v>
      </x:c>
      <x:c r="U32" s="60" t="str">
        <x:v>No</x:v>
      </x:c>
    </x:row>
    <x:row r="33">
      <x:c r="A33" s="60" t="n">
        <x:v>32</x:v>
      </x:c>
      <x:c r="B33" s="60" t="str">
        <x:v>standard_attack</x:v>
      </x:c>
      <x:c r="C33" s="60" t="str">
        <x:v>ko2026social_dynamics</x:v>
      </x:c>
      <x:c r="D33" s="60" t="str">
        <x:v>Social Dynamics as Critical Vulnerabilities that Undermine Objective Decision-Making in LLM Collectives</x:v>
      </x:c>
      <x:c r="E33" s="60" t="str">
        <x:v>ACL 2026</x:v>
      </x:c>
      <x:c r="F33" s="60" t="str">
        <x:v>Published archival ACL version.</x:v>
      </x:c>
      <x:c r="G33" s="60" t="str">
        <x:v>Verified against ACL Anthology.</x:v>
      </x:c>
      <x:c r="H33" s="60" t="str">
        <x:v>security_relevant</x:v>
      </x:c>
      <x:c r="I33" s="60" t="str">
        <x:v>security_relevant</x:v>
      </x:c>
      <x:c r="J33" s="60" t="str">
        <x:v>attack</x:v>
      </x:c>
      <x:c r="K33" s="60" t="str">
        <x:v>evaluation</x:v>
      </x:c>
      <x:c r="L33" s="60" t="str">
        <x:v>Yes. A representative agent integrates outputs from five distinct peers and its decision changes with adversarial coalition and message characteristics.</x:v>
      </x:c>
      <x:c r="M33" s="60" t="str">
        <x:v>confirmed_attack_bearing</x:v>
      </x:c>
      <x:c r="N33" s="60" t="str">
        <x:v>Collective decision-integrity failure.</x:v>
      </x:c>
      <x:c r="O33" s="60" t="str">
        <x:v>ready_after_major_patch</x:v>
      </x:c>
      <x:c r="P33" s="60" t="str">
        <x:v>assistant_source_reviewed_pending_author_signoff</x:v>
      </x:c>
      <x:c r="Q33" s="60" t="str">
        <x:v>no</x:v>
      </x:c>
      <x:c r="R33" s="60" t="str">
        <x:v>https://aclanthology.org/2026.acl-long.1756/</x:v>
      </x:c>
      <x:c r="S33" s="60" t="str">
        <x:v>Yes</x:v>
      </x:c>
      <x:c r="T33" s="60" t="str">
        <x:v>No</x:v>
      </x:c>
      <x:c r="U33" s="60" t="str">
        <x:v>No</x:v>
      </x:c>
    </x:row>
    <x:row r="34">
      <x:c r="A34" s="60" t="n">
        <x:v>33</x:v>
      </x:c>
      <x:c r="B34" s="60" t="str">
        <x:v>standard_attack</x:v>
      </x:c>
      <x:c r="C34" s="60" t="str">
        <x:v>zhou2026hierarchical_attacks</x:v>
      </x:c>
      <x:c r="D34" s="60" t="str">
        <x:v>Hierarchical Attacks for Multi-Modal Multi-Agent Reasoning</x:v>
      </x:c>
      <x:c r="E34" s="60" t="str">
        <x:v>CVPR 2026</x:v>
      </x:c>
      <x:c r="F34" s="60" t="str">
        <x:v>Published CVPR 2026 proceedings version; CVF page lists pp. 42331-42340; arXiv 2605.13213 is a companion version.</x:v>
      </x:c>
      <x:c r="G34" s="60" t="str">
        <x:v>Verified against CVF search result and conference metadata.</x:v>
      </x:c>
      <x:c r="H34" s="60" t="str">
        <x:v>core_security</x:v>
      </x:c>
      <x:c r="I34" s="60" t="str">
        <x:v>core_security</x:v>
      </x:c>
      <x:c r="J34" s="60" t="str">
        <x:v>attack</x:v>
      </x:c>
      <x:c r="K34" s="60" t="str">
        <x:v>evaluation</x:v>
      </x:c>
      <x:c r="L34" s="60" t="str">
        <x:v>Yes. One master, six specialized subagents, shared/private memory, tools, and communication/reasoning layers are explicitly attacked.</x:v>
      </x:c>
      <x:c r="M34" s="60" t="str">
        <x:v>confirmed_attack_bearing</x:v>
      </x:c>
      <x:c r="N34" s="60" t="str">
        <x:v>Multiple claim-level failures: decision integrity, communication/topology integrity, shared-state integrity, and availability.</x:v>
      </x:c>
      <x:c r="O34" s="60" t="str">
        <x:v>ready_after_major_patch</x:v>
      </x:c>
      <x:c r="P34" s="60" t="str">
        <x:v>assistant_source_reviewed_pending_author_signoff</x:v>
      </x:c>
      <x:c r="Q34" s="60" t="str">
        <x:v>yes</x:v>
      </x:c>
      <x:c r="R34" s="60" t="str">
        <x:v>https://openaccess.thecvf.com/content/CVPR2026/html/Zhou_Hierarchical_Attacks_for_Multi-Modal_Multi-Agent_Reasoning_CVPR_2026_paper.html</x:v>
      </x:c>
      <x:c r="S34" s="60" t="str">
        <x:v>Yes</x:v>
      </x:c>
      <x:c r="T34" s="60" t="str">
        <x:v>No</x:v>
      </x:c>
      <x:c r="U34" s="60" t="str">
        <x:v>No</x:v>
      </x:c>
    </x:row>
    <x:row r="35">
      <x:c r="A35" s="60" t="n">
        <x:v>34</x:v>
      </x:c>
      <x:c r="B35" s="60" t="str">
        <x:v>standard_attack</x:v>
      </x:c>
      <x:c r="C35" s="60" t="str">
        <x:v>kong2026web_fraud</x:v>
      </x:c>
      <x:c r="D35" s="60" t="str">
        <x:v>Web Fraud Attacks Against LLM-Driven Multi-Agent Systems</x:v>
      </x:c>
      <x:c r="E35" s="60" t="str">
        <x:v>Findings of ACL 2026</x:v>
      </x:c>
      <x:c r="F35" s="60" t="str">
        <x:v>Published archival Findings of ACL version.</x:v>
      </x:c>
      <x:c r="G35" s="60" t="str">
        <x:v>Verified against ACL Anthology.</x:v>
      </x:c>
      <x:c r="H35" s="60" t="str">
        <x:v>core_security</x:v>
      </x:c>
      <x:c r="I35" s="60" t="str">
        <x:v>core_security</x:v>
      </x:c>
      <x:c r="J35" s="60" t="str">
        <x:v>attack</x:v>
      </x:c>
      <x:c r="K35" s="60" t="str">
        <x:v>attack</x:v>
      </x:c>
      <x:c r="L35" s="60" t="str">
        <x:v>Yes. One malicious recommender’s URL is reviewed, debated, voted on, or audited by downstream agents.</x:v>
      </x:c>
      <x:c r="M35" s="60" t="str">
        <x:v>confirmed_attack_bearing</x:v>
      </x:c>
      <x:c r="N35" s="60" t="str">
        <x:v>Collective recommendation and decision-integrity failure.</x:v>
      </x:c>
      <x:c r="O35" s="60" t="str">
        <x:v>ready_after_minor_patch</x:v>
      </x:c>
      <x:c r="P35" s="60" t="str">
        <x:v>assistant_source_reviewed_pending_author_signoff</x:v>
      </x:c>
      <x:c r="Q35" s="60" t="str">
        <x:v>yes</x:v>
      </x:c>
      <x:c r="R35" s="60" t="str">
        <x:v>https://aclanthology.org/2026.findings-acl.686/</x:v>
      </x:c>
      <x:c r="S35" s="60" t="str">
        <x:v>No</x:v>
      </x:c>
      <x:c r="T35" s="60" t="str">
        <x:v>No</x:v>
      </x:c>
      <x:c r="U35" s="60" t="str">
        <x:v>No</x:v>
      </x:c>
    </x:row>
    <x:row r="36">
      <x:c r="A36" s="60" t="n">
        <x:v>35</x:v>
      </x:c>
      <x:c r="B36" s="60" t="str">
        <x:v>standard_attack</x:v>
      </x:c>
      <x:c r="C36" s="60" t="str">
        <x:v>huang2025faulty_agents</x:v>
      </x:c>
      <x:c r="D36" s="60" t="str">
        <x:v>On the Resilience of LLM-Based Multi-Agent Collaboration with Faulty Agents</x:v>
      </x:c>
      <x:c r="E36" s="60" t="str">
        <x:v>ICML 2025, PMLR 267</x:v>
      </x:c>
      <x:c r="F36" s="60" t="str">
        <x:v>Published ICML/PMLR proceedings version.</x:v>
      </x:c>
      <x:c r="G36" s="60" t="str">
        <x:v>Verified against PMLR.</x:v>
      </x:c>
      <x:c r="H36" s="60" t="str">
        <x:v>security_relevant</x:v>
      </x:c>
      <x:c r="I36" s="60" t="str">
        <x:v>security_relevant</x:v>
      </x:c>
      <x:c r="J36" s="60" t="str">
        <x:v>attack</x:v>
      </x:c>
      <x:c r="K36" s="60" t="str">
        <x:v>evaluation</x:v>
      </x:c>
      <x:c r="L36" s="60" t="str">
        <x:v>Yes. Role-transformed or message-injected faulty members affect downstream agents through linear, flat, and hierarchical collaboration.</x:v>
      </x:c>
      <x:c r="M36" s="60" t="str">
        <x:v>confirmed_attack_bearing</x:v>
      </x:c>
      <x:c r="N36" s="60" t="str">
        <x:v>Collective output-integrity and reliability failure.</x:v>
      </x:c>
      <x:c r="O36" s="60" t="str">
        <x:v>ready_after_major_patch</x:v>
      </x:c>
      <x:c r="P36" s="60" t="str">
        <x:v>assistant_source_reviewed_pending_author_signoff</x:v>
      </x:c>
      <x:c r="Q36" s="60" t="str">
        <x:v>no</x:v>
      </x:c>
      <x:c r="R36" s="60" t="str">
        <x:v>https://proceedings.mlr.press/v267/huang25ay.html</x:v>
      </x:c>
      <x:c r="S36" s="60" t="str">
        <x:v>Yes</x:v>
      </x:c>
      <x:c r="T36" s="60" t="str">
        <x:v>No</x:v>
      </x:c>
      <x:c r="U36" s="60" t="str">
        <x:v>No</x:v>
      </x:c>
    </x:row>
    <x:row r="37">
      <x:c r="A37" s="60" t="n">
        <x:v>36</x:v>
      </x:c>
      <x:c r="B37" s="60" t="str">
        <x:v>standard_attack</x:v>
      </x:c>
      <x:c r="C37" s="60" t="str">
        <x:v>hagag2026architecture_matters</x:v>
      </x:c>
      <x:c r="D37" s="60" t="str">
        <x:v>Architecture Matters for Multi-Agent Security</x:v>
      </x:c>
      <x:c r="E37" s="60" t="str">
        <x:v>ICML 2026 AIWILD Workshop / official ICML workshop program</x:v>
      </x:c>
      <x:c r="F37" s="60" t="str">
        <x:v>Workshop publication associated with ICML 2026; full text is arXiv 2604.23459. Do not label it an ICML main-track paper.</x:v>
      </x:c>
      <x:c r="G37" s="60" t="str">
        <x:v>Title/authors verified; queue venue “ICML” is too broad and should be changed to AIWILD workshop at ICML 2026 unless a main-track proceedings record appears.</x:v>
      </x:c>
      <x:c r="H37" s="60" t="str">
        <x:v>core_security</x:v>
      </x:c>
      <x:c r="I37" s="60" t="str">
        <x:v>core_security</x:v>
      </x:c>
      <x:c r="J37" s="60" t="str">
        <x:v>attack</x:v>
      </x:c>
      <x:c r="K37" s="60" t="str">
        <x:v>evaluation</x:v>
      </x:c>
      <x:c r="L37" s="60" t="str">
        <x:v>Yes. The experiment explicitly varies roles, communication topology, and memory while comparing to standalone agents.</x:v>
      </x:c>
      <x:c r="M37" s="60" t="str">
        <x:v>confirmed_attack_bearing</x:v>
      </x:c>
      <x:c r="N37" s="60" t="str">
        <x:v>Compositional harmful-action and authorization-integrity failure.</x:v>
      </x:c>
      <x:c r="O37" s="60" t="str">
        <x:v>ready_after_major_patch</x:v>
      </x:c>
      <x:c r="P37" s="60" t="str">
        <x:v>assistant_source_reviewed_pending_author_signoff</x:v>
      </x:c>
      <x:c r="Q37" s="60" t="str">
        <x:v>yes</x:v>
      </x:c>
      <x:c r="R37" s="60" t="str">
        <x:v>https://icml.cc/virtual/2026/poster/64792</x:v>
      </x:c>
      <x:c r="S37" s="60" t="str">
        <x:v>Yes</x:v>
      </x:c>
      <x:c r="T37" s="60" t="str">
        <x:v>No</x:v>
      </x:c>
      <x:c r="U37" s="60" t="str">
        <x:v>No</x:v>
      </x:c>
    </x:row>
    <x:row r="38">
      <x:c r="A38" s="60" t="n">
        <x:v>37</x:v>
      </x:c>
      <x:c r="B38" s="60" t="str">
        <x:v>standard_attack</x:v>
      </x:c>
      <x:c r="C38" s="60" t="str">
        <x:v>ren2026financial_fraud</x:v>
      </x:c>
      <x:c r="D38" s="60" t="str">
        <x:v>When AI Agents Collude Online: Financial Fraud Risks by Collaborative LLM Agents on Social Platforms</x:v>
      </x:c>
      <x:c r="E38" s="60" t="str">
        <x:v>ICLR 2026</x:v>
      </x:c>
      <x:c r="F38" s="60" t="str">
        <x:v>ICLR 2026 paper; arXiv v2 is the accessible full text.</x:v>
      </x:c>
      <x:c r="G38" s="60" t="str">
        <x:v>Title/authors and ICLR comment verified on arXiv; final OpenReview acceptance metadata should receive author signoff.</x:v>
      </x:c>
      <x:c r="H38" s="60" t="str">
        <x:v>core_security</x:v>
      </x:c>
      <x:c r="I38" s="60" t="str">
        <x:v>core_security</x:v>
      </x:c>
      <x:c r="J38" s="60" t="str">
        <x:v>attack</x:v>
      </x:c>
      <x:c r="K38" s="60" t="str">
        <x:v>evaluation</x:v>
      </x:c>
      <x:c r="L38" s="60" t="str">
        <x:v>Yes. Populations of malicious agents coordinate through public and private channels over a staged fraud lifecycle.</x:v>
      </x:c>
      <x:c r="M38" s="60" t="str">
        <x:v>confirmed_attack_bearing</x:v>
      </x:c>
      <x:c r="N38" s="60" t="str">
        <x:v>Collective manipulation and decision-integrity failure with simulated financial impact.</x:v>
      </x:c>
      <x:c r="O38" s="60" t="str">
        <x:v>ready_after_major_patch</x:v>
      </x:c>
      <x:c r="P38" s="60" t="str">
        <x:v>assistant_source_reviewed_pending_author_signoff</x:v>
      </x:c>
      <x:c r="Q38" s="60" t="str">
        <x:v>yes</x:v>
      </x:c>
      <x:c r="R38" s="60" t="str">
        <x:v>https://openreview.net/pdf/0319815fc31bf769beeb29104637feb4c664902c.pdf</x:v>
      </x:c>
      <x:c r="S38" s="60" t="str">
        <x:v>Yes</x:v>
      </x:c>
      <x:c r="T38" s="60" t="str">
        <x:v>No</x:v>
      </x:c>
      <x:c r="U38" s="60" t="str">
        <x:v>Yes</x:v>
      </x:c>
    </x:row>
    <x:row r="39">
      <x:c r="A39" s="60" t="n">
        <x:v>38</x:v>
      </x:c>
      <x:c r="B39" s="60" t="str">
        <x:v>standard_attack</x:v>
      </x:c>
      <x:c r="C39" s="60" t="str">
        <x:v>bowers2025code_injection</x:v>
      </x:c>
      <x:c r="D39" s="60" t="str">
        <x:v>Analyzing Code Injection Attacks on LLM-based Multi-Agent Systems in Software Development</x:v>
      </x:c>
      <x:c r="E39" s="60" t="str">
        <x:v>ICMLA 2025</x:v>
      </x:c>
      <x:c r="F39" s="60" t="str">
        <x:v>Published ICMLA metadata; full text accessed as arXiv v1.</x:v>
      </x:c>
      <x:c r="G39" s="60" t="str">
        <x:v>Verified against IEEE DOI metadata and arXiv.</x:v>
      </x:c>
      <x:c r="H39" s="60" t="str">
        <x:v>core_security</x:v>
      </x:c>
      <x:c r="I39" s="60" t="str">
        <x:v>core_security</x:v>
      </x:c>
      <x:c r="J39" s="60" t="str">
        <x:v>attack</x:v>
      </x:c>
      <x:c r="K39" s="60" t="str">
        <x:v>evaluation</x:v>
      </x:c>
      <x:c r="L39" s="60" t="str">
        <x:v>Yes. Specialized coder, tester, reviewer, and security agents consume a shared code artifact across stages.</x:v>
      </x:c>
      <x:c r="M39" s="60" t="str">
        <x:v>confirmed_attack_bearing</x:v>
      </x:c>
      <x:c r="N39" s="60" t="str">
        <x:v>Software artifact integrity failure; potential confidentiality impact.</x:v>
      </x:c>
      <x:c r="O39" s="60" t="str">
        <x:v>ready_after_major_patch</x:v>
      </x:c>
      <x:c r="P39" s="60" t="str">
        <x:v>assistant_source_reviewed_pending_author_signoff</x:v>
      </x:c>
      <x:c r="Q39" s="60" t="str">
        <x:v>yes</x:v>
      </x:c>
      <x:c r="R39" s="60" t="str">
        <x:v>https://doi.org/10.1109/ICMLA66185.2025.00174</x:v>
      </x:c>
      <x:c r="S39" s="60" t="str">
        <x:v>Yes</x:v>
      </x:c>
      <x:c r="T39" s="60" t="str">
        <x:v>No</x:v>
      </x:c>
      <x:c r="U39" s="60" t="str">
        <x:v>Yes</x:v>
      </x:c>
    </x:row>
    <x:row r="40">
      <x:c r="A40" s="60" t="n">
        <x:v>39</x:v>
      </x:c>
      <x:c r="B40" s="60" t="str">
        <x:v>standard_attack</x:v>
      </x:c>
      <x:c r="C40" s="60" t="str">
        <x:v>jha2026control_flow_hijacking</x:v>
      </x:c>
      <x:c r="D40" s="60" t="str">
        <x:v>Breaking and Fixing Defenses Against Control-Flow Hijacking in Multi-Agent Systems</x:v>
      </x:c>
      <x:c r="E40" s="60" t="str">
        <x:v>ICLR 2026</x:v>
      </x:c>
      <x:c r="F40" s="60" t="str">
        <x:v>ICLR 2026 paper; arXiv v2 accessible full text.</x:v>
      </x:c>
      <x:c r="G40" s="60" t="str">
        <x:v>Title/authors verified on arXiv and OpenReview record.</x:v>
      </x:c>
      <x:c r="H40" s="60" t="str">
        <x:v>core_security</x:v>
      </x:c>
      <x:c r="I40" s="60" t="str">
        <x:v>core_security</x:v>
      </x:c>
      <x:c r="J40" s="60" t="str">
        <x:v>attack</x:v>
      </x:c>
      <x:c r="K40" s="60" t="str">
        <x:v>defense</x:v>
      </x:c>
      <x:c r="L40" s="60" t="str">
        <x:v>Yes. Indirect prompt injection is laundered through trusted specialists and changes orchestrator delegation/control flow.</x:v>
      </x:c>
      <x:c r="M40" s="60" t="str">
        <x:v>confirmed_attack_bearing</x:v>
      </x:c>
      <x:c r="N40" s="60" t="str">
        <x:v>Delegation/control-flow and authorization integrity failure; confidentiality impact in exfiltration cases.</x:v>
      </x:c>
      <x:c r="O40" s="60" t="str">
        <x:v>ready_after_major_patch</x:v>
      </x:c>
      <x:c r="P40" s="60" t="str">
        <x:v>assistant_source_reviewed_pending_author_signoff</x:v>
      </x:c>
      <x:c r="Q40" s="60" t="str">
        <x:v>yes</x:v>
      </x:c>
      <x:c r="R40" s="60" t="str">
        <x:v>https://openreview.net/forum?id=PNU9Rj5RDQ</x:v>
      </x:c>
      <x:c r="S40" s="60" t="str">
        <x:v>Yes</x:v>
      </x:c>
      <x:c r="T40" s="60" t="str">
        <x:v>No</x:v>
      </x:c>
      <x:c r="U40" s="60" t="str">
        <x:v>Yes</x:v>
      </x:c>
    </x:row>
    <x:row r="41">
      <x:c r="A41" s="60" t="n">
        <x:v>40</x:v>
      </x:c>
      <x:c r="B41" s="60" t="str">
        <x:v>standard_attack</x:v>
      </x:c>
      <x:c r="C41" s="60" t="str">
        <x:v>zhang2026embedding_defenses</x:v>
      </x:c>
      <x:c r="D41" s="60" t="str">
        <x:v>When Embedding-Based Defenses Fail: Rethinking Safety in LLM-Based Multi-Agent Systems</x:v>
      </x:c>
      <x:c r="E41" s="60" t="str">
        <x:v>ICML 2026</x:v>
      </x:c>
      <x:c r="F41" s="60" t="str">
        <x:v>ICML 2026 paper; arXiv v3 is accessible full text.</x:v>
      </x:c>
      <x:c r="G41" s="60" t="str">
        <x:v>Title/authors and version history verified; final ICML proceedings metadata should receive author signoff.</x:v>
      </x:c>
      <x:c r="H41" s="60" t="str">
        <x:v>core_security</x:v>
      </x:c>
      <x:c r="I41" s="60" t="str">
        <x:v>core_security</x:v>
      </x:c>
      <x:c r="J41" s="60" t="str">
        <x:v>attack</x:v>
      </x:c>
      <x:c r="K41" s="60" t="str">
        <x:v>defense</x:v>
      </x:c>
      <x:c r="L41" s="60" t="str">
        <x:v>Yes. One compromised member crafts messages that propagate/aggregate across graph topologies and target graph defenses.</x:v>
      </x:c>
      <x:c r="M41" s="60" t="str">
        <x:v>confirmed_attack_bearing</x:v>
      </x:c>
      <x:c r="N41" s="60" t="str">
        <x:v>Collective decision integrity and malicious-member attribution failure.</x:v>
      </x:c>
      <x:c r="O41" s="60" t="str">
        <x:v>ready_after_major_patch</x:v>
      </x:c>
      <x:c r="P41" s="60" t="str">
        <x:v>assistant_source_reviewed_pending_author_signoff</x:v>
      </x:c>
      <x:c r="Q41" s="60" t="str">
        <x:v>yes</x:v>
      </x:c>
      <x:c r="R41" s="60" t="str">
        <x:v>https://icml.cc/virtual/2026/poster/62170</x:v>
      </x:c>
      <x:c r="S41" s="60" t="str">
        <x:v>Yes</x:v>
      </x:c>
      <x:c r="T41" s="60" t="str">
        <x:v>No</x:v>
      </x:c>
      <x:c r="U41" s="60" t="str">
        <x:v>Yes</x:v>
      </x:c>
    </x:row>
    <x:row r="42">
      <x:c r="A42" s="60" t="n">
        <x:v>41</x:v>
      </x:c>
      <x:c r="B42" s="60" t="str">
        <x:v>standard_attack</x:v>
      </x:c>
      <x:c r="C42" s="60" t="str">
        <x:v>kraidia2026collaboration_fails</x:v>
      </x:c>
      <x:c r="D42" s="60" t="str">
        <x:v>When collaboration fails: persuasion driven adversarial influence in multi agent large language model debate</x:v>
      </x:c>
      <x:c r="E42" s="60" t="str">
        <x:v>Scientific Reports 16, Article 11640 (2026)</x:v>
      </x:c>
      <x:c r="F42" s="60" t="str">
        <x:v>Published open-access journal article, 8 April 2026.</x:v>
      </x:c>
      <x:c r="G42" s="60" t="str">
        <x:v>Title, five-author list, publication date, journal volume/article number, and DOI verified on the Nature publisher page.</x:v>
      </x:c>
      <x:c r="H42" s="60" t="str">
        <x:v>core_security</x:v>
      </x:c>
      <x:c r="I42" s="60" t="str">
        <x:v>core_security</x:v>
      </x:c>
      <x:c r="J42" s="60" t="str">
        <x:v>attack</x:v>
      </x:c>
      <x:c r="K42" s="60" t="str">
        <x:v>attack</x:v>
      </x:c>
      <x:c r="L42" s="60" t="str">
        <x:v>Yes. One or more adversarial debate members observe prior arguments and influence cooperative agents across repeated debate rounds and majority aggregation.</x:v>
      </x:c>
      <x:c r="M42" s="60" t="str">
        <x:v>confirmed_attack_bearing</x:v>
      </x:c>
      <x:c r="N42" s="60" t="str">
        <x:v>Collective decision-integrity failure.</x:v>
      </x:c>
      <x:c r="O42" s="60" t="str">
        <x:v>ready_after_minor_patch</x:v>
      </x:c>
      <x:c r="P42" s="60" t="str">
        <x:v>assistant_source_reviewed_pending_author_signoff</x:v>
      </x:c>
      <x:c r="Q42" s="60" t="str">
        <x:v>yes</x:v>
      </x:c>
      <x:c r="R42" s="60" t="str">
        <x:v>https://www.nature.com/articles/s41598-026-42705-7</x:v>
      </x:c>
      <x:c r="S42" s="60" t="str">
        <x:v>No</x:v>
      </x:c>
      <x:c r="T42" s="60" t="str">
        <x:v>No</x:v>
      </x:c>
      <x:c r="U42" s="60" t="str">
        <x:v>No</x:v>
      </x:c>
    </x:row>
    <x:row r="43">
      <x:c r="A43" s="60" t="n">
        <x:v>42</x:v>
      </x:c>
      <x:c r="B43" s="60" t="str">
        <x:v>standard_attack</x:v>
      </x:c>
      <x:c r="C43" s="60" t="str">
        <x:v>xu2026trust_paradox</x:v>
      </x:c>
      <x:c r="D43" s="60" t="str">
        <x:v>The Trust Paradox in LLM-Based Multi-Agent Systems: When Collaboration Becomes a Security Vulnerability</x:v>
      </x:c>
      <x:c r="E43" s="60" t="str">
        <x:v>IEEE Transactions on Computational Social Systems</x:v>
      </x:c>
      <x:c r="F43" s="60" t="str">
        <x:v>Published IEEE journal metadata; technical full text available as arXiv 2510.18563.</x:v>
      </x:c>
      <x:c r="G43" s="60" t="str">
        <x:v>Canonical title/authors/DOI match the IEEE-linked record and arXiv version. Final IEEE pagination should still be added when available.</x:v>
      </x:c>
      <x:c r="H43" s="60" t="str">
        <x:v>security_relevant</x:v>
      </x:c>
      <x:c r="I43" s="60" t="str">
        <x:v>security_relevant</x:v>
      </x:c>
      <x:c r="J43" s="60" t="str">
        <x:v>attack</x:v>
      </x:c>
      <x:c r="K43" s="60" t="str">
        <x:v>evaluation</x:v>
      </x:c>
      <x:c r="L43" s="60" t="str">
        <x:v>Yes. Risk is defined over trust-conditioned cross-role requests and disclosures between separately instantiated role agents across closed-loop interaction chains.</x:v>
      </x:c>
      <x:c r="M43" s="60" t="str">
        <x:v>confirmed_attack_bearing</x:v>
      </x:c>
      <x:c r="N43" s="60" t="str">
        <x:v>Cross-principal confidentiality and authorization-boundary failure.</x:v>
      </x:c>
      <x:c r="O43" s="60" t="str">
        <x:v>ready_after_major_patch</x:v>
      </x:c>
      <x:c r="P43" s="60" t="str">
        <x:v>assistant_source_reviewed_pending_author_signoff</x:v>
      </x:c>
      <x:c r="Q43" s="60" t="str">
        <x:v>yes</x:v>
      </x:c>
      <x:c r="R43" s="60" t="str">
        <x:v>https://doi.org/10.1109/TCSS.2026.3695070</x:v>
      </x:c>
      <x:c r="S43" s="60" t="str">
        <x:v>Yes</x:v>
      </x:c>
      <x:c r="T43" s="60" t="str">
        <x:v>No</x:v>
      </x:c>
      <x:c r="U43" s="60" t="str">
        <x:v>No</x:v>
      </x:c>
    </x:row>
    <x:row r="44">
      <x:c r="A44" s="60" t="n">
        <x:v>43</x:v>
      </x:c>
      <x:c r="B44" s="60" t="str">
        <x:v>standard_attack</x:v>
      </x:c>
      <x:c r="C44" s="60" t="str">
        <x:v>lee2026prompt_infection</x:v>
      </x:c>
      <x:c r="D44" s="60" t="str">
        <x:v>Prompt Infection: LLM-to-LLM Prompt Injection within Multi-agent Systems</x:v>
      </x:c>
      <x:c r="E44" s="60" t="str">
        <x:v>ESORICS 2025 International Workshops, LNCS chapter</x:v>
      </x:c>
      <x:c r="F44" s="60" t="str">
        <x:v>Published Springer workshop chapter; arXiv 2410.07283 is the accessible technical version. Published version adds Brando Miranda.</x:v>
      </x:c>
      <x:c r="G44" s="60" t="str">
        <x:v>Title, three-author published list, Springer DOI, and workshop-chapter status verified; year should follow the 2026 LNCS publication, while noting the 2025 workshop event.</x:v>
      </x:c>
      <x:c r="H44" s="60" t="str">
        <x:v>core_security</x:v>
      </x:c>
      <x:c r="I44" s="60" t="str">
        <x:v>core_security</x:v>
      </x:c>
      <x:c r="J44" s="60" t="str">
        <x:v>attack</x:v>
      </x:c>
      <x:c r="K44" s="60" t="str">
        <x:v>attack</x:v>
      </x:c>
      <x:c r="L44" s="60" t="str">
        <x:v>Yes. A self-replicating payload is transferred through ordinary inter-agent messages and compromises downstream role-specialized agents that never saw the original content.</x:v>
      </x:c>
      <x:c r="M44" s="60" t="str">
        <x:v>confirmed_attack_bearing</x:v>
      </x:c>
      <x:c r="N44" s="60" t="str">
        <x:v>Compromise propagation and containment failure.</x:v>
      </x:c>
      <x:c r="O44" s="60" t="str">
        <x:v>ready_after_minor_patch</x:v>
      </x:c>
      <x:c r="P44" s="60" t="str">
        <x:v>assistant_source_reviewed_pending_author_signoff</x:v>
      </x:c>
      <x:c r="Q44" s="60" t="str">
        <x:v>yes</x:v>
      </x:c>
      <x:c r="R44" s="60" t="str">
        <x:v>https://link.springer.com/chapter/10.1007/978-3-032-16092-8_28</x:v>
      </x:c>
      <x:c r="S44" s="60" t="str">
        <x:v>No</x:v>
      </x:c>
      <x:c r="T44" s="60" t="str">
        <x:v>No</x:v>
      </x:c>
      <x:c r="U44" s="60" t="str">
        <x:v>No</x:v>
      </x:c>
    </x:row>
    <x:row r="45">
      <x:c r="A45" s="60" t="n">
        <x:v>44</x:v>
      </x:c>
      <x:c r="B45" s="60" t="str">
        <x:v>standard_attack</x:v>
      </x:c>
      <x:c r="C45" s="60" t="str">
        <x:v>yang2026among_us</x:v>
      </x:c>
      <x:c r="D45" s="60" t="str">
        <x:v>Among Us: Measuring and Mitigating Malicious Contributions in Model Collaboration Systems</x:v>
      </x:c>
      <x:c r="E45" s="60" t="str">
        <x:v>ACL 2026</x:v>
      </x:c>
      <x:c r="F45" s="60" t="str">
        <x:v>Published ACL 2026 long paper.</x:v>
      </x:c>
      <x:c r="G45" s="60" t="str">
        <x:v>Title, authors, DOI, year, and ACL publication verified on ACL Anthology.</x:v>
      </x:c>
      <x:c r="H45" s="60" t="str">
        <x:v>core_security</x:v>
      </x:c>
      <x:c r="I45" s="60" t="str">
        <x:v>security_relevant</x:v>
      </x:c>
      <x:c r="J45" s="60" t="str">
        <x:v>attack</x:v>
      </x:c>
      <x:c r="K45" s="60" t="str">
        <x:v>evaluation</x:v>
      </x:c>
      <x:c r="L45" s="60" t="str">
        <x:v>Mixed. Text-exchange collaboration is a clear interacting-agent setting; API routing, logit aggregation, and weight merging are broader multi-model composition and may lack separately stateful interacting agent cores.</x:v>
      </x:c>
      <x:c r="M45" s="60" t="str">
        <x:v>confirmed_attack_bearing</x:v>
      </x:c>
      <x:c r="N45" s="60" t="str">
        <x:v>Collective output/safety integrity degradation.</x:v>
      </x:c>
      <x:c r="O45" s="60" t="str">
        <x:v>ready_after_major_patch</x:v>
      </x:c>
      <x:c r="P45" s="60" t="str">
        <x:v>assistant_source_reviewed_pending_author_signoff</x:v>
      </x:c>
      <x:c r="Q45" s="60" t="str">
        <x:v>yes</x:v>
      </x:c>
      <x:c r="R45" s="60" t="str">
        <x:v>https://aclanthology.org/2026.acl-long.725/</x:v>
      </x:c>
      <x:c r="S45" s="60" t="str">
        <x:v>Yes</x:v>
      </x:c>
      <x:c r="T45" s="60" t="str">
        <x:v>Yes</x:v>
      </x:c>
      <x:c r="U45" s="60" t="str">
        <x:v>No</x:v>
      </x:c>
    </x:row>
    <x:row r="46">
      <x:c r="A46" s="60" t="n">
        <x:v>45</x:v>
      </x:c>
      <x:c r="B46" s="60" t="str">
        <x:v>standard_attack</x:v>
      </x:c>
      <x:c r="C46" s="60" t="str">
        <x:v>yu2025codes</x:v>
      </x:c>
      <x:c r="D46" s="60" t="str">
        <x:v>LLM-based Multi-Agents System Attack via Continuous Optimization with Discrete Efficient Search</x:v>
      </x:c>
      <x:c r="E46" s="60" t="str">
        <x:v>COLM 2025</x:v>
      </x:c>
      <x:c r="F46" s="60" t="str">
        <x:v>Published COLM 2025 conference paper on OpenReview; no DOI recorded.</x:v>
      </x:c>
      <x:c r="G46" s="60" t="str">
        <x:v>Title/authors match the repository’s published OpenReview record and COLM accepted-paper metadata; exact proceedings pagination is unavailable.</x:v>
      </x:c>
      <x:c r="H46" s="60" t="str">
        <x:v>core_security</x:v>
      </x:c>
      <x:c r="I46" s="60" t="str">
        <x:v>core_security</x:v>
      </x:c>
      <x:c r="J46" s="60" t="str">
        <x:v>attack</x:v>
      </x:c>
      <x:c r="K46" s="60" t="str">
        <x:v>attack</x:v>
      </x:c>
      <x:c r="L46" s="60" t="str">
        <x:v>Yes. A one-time intervention produces a suffix that is re-emitted through subsequent inter-agent messages, making compromise a multi-hop collective property.</x:v>
      </x:c>
      <x:c r="M46" s="60" t="str">
        <x:v>confirmed_attack_bearing</x:v>
      </x:c>
      <x:c r="N46" s="60" t="str">
        <x:v>Compromise propagation and containment failure.</x:v>
      </x:c>
      <x:c r="O46" s="60" t="str">
        <x:v>ready_after_minor_patch</x:v>
      </x:c>
      <x:c r="P46" s="60" t="str">
        <x:v>assistant_source_reviewed_pending_author_signoff</x:v>
      </x:c>
      <x:c r="Q46" s="60" t="str">
        <x:v>yes</x:v>
      </x:c>
      <x:c r="R46" s="60" t="str">
        <x:v>https://openreview.net/forum?id=ED5diyzc1C</x:v>
      </x:c>
      <x:c r="S46" s="60" t="str">
        <x:v>No</x:v>
      </x:c>
      <x:c r="T46" s="60" t="str">
        <x:v>No</x:v>
      </x:c>
      <x:c r="U46" s="60" t="str">
        <x:v>No</x:v>
      </x:c>
    </x:row>
    <x:row r="47">
      <x:c r="A47" s="60" t="n">
        <x:v>46</x:v>
      </x:c>
      <x:c r="B47" s="60" t="str">
        <x:v>standard_attack</x:v>
      </x:c>
      <x:c r="C47" s="60" t="str">
        <x:v>tian2023evil_geniuses</x:v>
      </x:c>
      <x:c r="D47" s="60" t="str">
        <x:v>Evil Geniuses: Delving into the Safety of LLM-based Agents</x:v>
      </x:c>
      <x:c r="E47" s="60" t="str">
        <x:v>arXiv preprint</x:v>
      </x:c>
      <x:c r="F47" s="60" t="str">
        <x:v>arXiv v2, last revised 2 February 2024; no peer-reviewed venue verified.</x:v>
      </x:c>
      <x:c r="G47" s="60" t="str">
        <x:v>Title, five-author list, arXiv ID/DOI, submission history, and preprint-only status verified on arXiv.</x:v>
      </x:c>
      <x:c r="H47" s="60" t="str">
        <x:v>security_relevant</x:v>
      </x:c>
      <x:c r="I47" s="60" t="str">
        <x:v>security_relevant</x:v>
      </x:c>
      <x:c r="J47" s="60" t="str">
        <x:v>attack</x:v>
      </x:c>
      <x:c r="K47" s="60" t="str">
        <x:v>attack</x:v>
      </x:c>
      <x:c r="L47" s="60" t="str">
        <x:v>Mixed. The paper evaluates CAMEL, MetaGPT, and ChatDev and includes interaction ablations, but also uses a multi-agent Red–Blue workflow merely to generate attacks and mixes MAS targets with single-model comparisons.</x:v>
      </x:c>
      <x:c r="M47" s="60" t="str">
        <x:v>preprint_attack_bearing</x:v>
      </x:c>
      <x:c r="N47" s="60" t="str">
        <x:v>Collaborative safety/output-integrity failure.</x:v>
      </x:c>
      <x:c r="O47" s="60" t="str">
        <x:v>ready_after_major_patch</x:v>
      </x:c>
      <x:c r="P47" s="60" t="str">
        <x:v>assistant_source_reviewed_pending_author_signoff</x:v>
      </x:c>
      <x:c r="Q47" s="60" t="str">
        <x:v>no</x:v>
      </x:c>
      <x:c r="R47" s="60" t="str">
        <x:v>https://arxiv.org/abs/2311.11855</x:v>
      </x:c>
      <x:c r="S47" s="60" t="str">
        <x:v>No</x:v>
      </x:c>
      <x:c r="T47" s="60" t="str">
        <x:v>No</x:v>
      </x:c>
      <x:c r="U47" s="60" t="str">
        <x:v>Yes</x:v>
      </x:c>
    </x:row>
    <x:row r="48">
      <x:c r="A48" s="60" t="n">
        <x:v>47</x:v>
      </x:c>
      <x:c r="B48" s="60" t="str">
        <x:v>standard_attack</x:v>
      </x:c>
      <x:c r="C48" s="60" t="str">
        <x:v>tan2024wolf_within</x:v>
      </x:c>
      <x:c r="D48" s="60" t="str">
        <x:v>The Wolf Within: Covert Injection of Malice into MLLM Societies via an MLLM Operative</x:v>
      </x:c>
      <x:c r="E48" s="60" t="str">
        <x:v>ReGenAI Workshop at CVPR 2024 / arXiv</x:v>
      </x:c>
      <x:c r="F48" s="60" t="str">
        <x:v>arXiv v2; arXiv comments report acceptance to ReGenAI@CVPR 2024 workshop, not CVPR main conference.</x:v>
      </x:c>
      <x:c r="G48" s="60" t="str">
        <x:v>Title, seven authors, arXiv history, and workshop status verified. Corpus must not label it simply as CVPR 2024.</x:v>
      </x:c>
      <x:c r="H48" s="60" t="str">
        <x:v>core_security</x:v>
      </x:c>
      <x:c r="I48" s="60" t="str">
        <x:v>core_security</x:v>
      </x:c>
      <x:c r="J48" s="60" t="str">
        <x:v>attack</x:v>
      </x:c>
      <x:c r="K48" s="60" t="str">
        <x:v>attack</x:v>
      </x:c>
      <x:c r="L48" s="60" t="str">
        <x:v>Yes but narrow. The optimized output of one MLLM is forwarded with media to a clean second MLLM; the paper demonstrates one-hop composed compromise, not autonomous population infection.</x:v>
      </x:c>
      <x:c r="M48" s="60" t="str">
        <x:v>workshop_attack_bearing</x:v>
      </x:c>
      <x:c r="N48" s="60" t="str">
        <x:v>Downstream agent safety/output-integrity failure.</x:v>
      </x:c>
      <x:c r="O48" s="60" t="str">
        <x:v>ready_after_major_patch</x:v>
      </x:c>
      <x:c r="P48" s="60" t="str">
        <x:v>assistant_source_reviewed_pending_author_signoff</x:v>
      </x:c>
      <x:c r="Q48" s="60" t="str">
        <x:v>no</x:v>
      </x:c>
      <x:c r="R48" s="60" t="str">
        <x:v>https://arxiv.org/abs/2402.14859</x:v>
      </x:c>
      <x:c r="S48" s="60" t="str">
        <x:v>No</x:v>
      </x:c>
      <x:c r="T48" s="60" t="str">
        <x:v>No</x:v>
      </x:c>
      <x:c r="U48" s="60" t="str">
        <x:v>Yes</x:v>
      </x:c>
    </x:row>
    <x:row r="49">
      <x:c r="A49" s="60" t="n">
        <x:v>48</x:v>
      </x:c>
      <x:c r="B49" s="60" t="str">
        <x:v>standard_attack</x:v>
      </x:c>
      <x:c r="C49" s="60" t="str">
        <x:v>zheng2025integrity_attacks</x:v>
      </x:c>
      <x:c r="D49" s="60" t="str">
        <x:v>Demonstrations of Integrity Attacks in Multi-Agent Systems</x:v>
      </x:c>
      <x:c r="E49" s="60" t="str">
        <x:v>arXiv preprint</x:v>
      </x:c>
      <x:c r="F49" s="60" t="str">
        <x:v>arXiv v1 submitted 5 June 2025; no peer-reviewed publication verified.</x:v>
      </x:c>
      <x:c r="G49" s="60" t="str">
        <x:v>Title, four authors, submission date, arXiv identifier, and preprint-only status verified.</x:v>
      </x:c>
      <x:c r="H49" s="60" t="str">
        <x:v>core_security</x:v>
      </x:c>
      <x:c r="I49" s="60" t="str">
        <x:v>core_security</x:v>
      </x:c>
      <x:c r="J49" s="60" t="str">
        <x:v>attack</x:v>
      </x:c>
      <x:c r="K49" s="60" t="str">
        <x:v>attack</x:v>
      </x:c>
      <x:c r="L49" s="60" t="str">
        <x:v>Yes. The four strategies exploit contribution attribution, workload assignment, tool promotion, peer interaction, and transcript-based monitoring that only exist in collaboration.</x:v>
      </x:c>
      <x:c r="M49" s="60" t="str">
        <x:v>preprint_attack_bearing</x:v>
      </x:c>
      <x:c r="N49" s="60" t="str">
        <x:v>Attribution/incentive/coordination integrity failure.</x:v>
      </x:c>
      <x:c r="O49" s="60" t="str">
        <x:v>ready_after_major_patch</x:v>
      </x:c>
      <x:c r="P49" s="60" t="str">
        <x:v>assistant_source_reviewed_pending_author_signoff</x:v>
      </x:c>
      <x:c r="Q49" s="60" t="str">
        <x:v>no</x:v>
      </x:c>
      <x:c r="R49" s="60" t="str">
        <x:v>https://arxiv.org/abs/2506.04572</x:v>
      </x:c>
      <x:c r="S49" s="60" t="str">
        <x:v>No</x:v>
      </x:c>
      <x:c r="T49" s="60" t="str">
        <x:v>No</x:v>
      </x:c>
      <x:c r="U49" s="60" t="str">
        <x:v>Yes</x:v>
      </x:c>
    </x:row>
    <x:row r="50">
      <x:c r="A50" s="60" t="n">
        <x:v>49</x:v>
      </x:c>
      <x:c r="B50" s="60" t="str">
        <x:v>standard_attack</x:v>
      </x:c>
      <x:c r="C50" s="60" t="str">
        <x:v>xie2025_whos_the_mole</x:v>
      </x:c>
      <x:c r="D50" s="60" t="str">
        <x:v>Who's the Mole? Modeling and Detecting Intention-Hiding Malicious Agents in LLM-Based Multi-Agent Systems</x:v>
      </x:c>
      <x:c r="E50" s="60" t="str">
        <x:v>arXiv preprint</x:v>
      </x:c>
      <x:c r="F50" s="60" t="str">
        <x:v>arXiv v2, revised 6 October 2025; no peer-reviewed venue verified.</x:v>
      </x:c>
      <x:c r="G50" s="60" t="str">
        <x:v>Title, seven authors, arXiv ID, version history, and preprint status verified.</x:v>
      </x:c>
      <x:c r="H50" s="60" t="str">
        <x:v>core_security</x:v>
      </x:c>
      <x:c r="I50" s="60" t="str">
        <x:v>core_security</x:v>
      </x:c>
      <x:c r="J50" s="60" t="str">
        <x:v>attack</x:v>
      </x:c>
      <x:c r="K50" s="60" t="str">
        <x:v>evaluation</x:v>
      </x:c>
      <x:c r="L50" s="60" t="str">
        <x:v>Yes. A role-consistent malicious member manipulates peers through centralized, decentralized, or layered communication and is detected through multi-round behavioral observation.</x:v>
      </x:c>
      <x:c r="M50" s="60" t="str">
        <x:v>preprint_attack_bearing</x:v>
      </x:c>
      <x:c r="N50" s="60" t="str">
        <x:v>Collective decision/objective integrity failure.</x:v>
      </x:c>
      <x:c r="O50" s="60" t="str">
        <x:v>ready_after_major_patch</x:v>
      </x:c>
      <x:c r="P50" s="60" t="str">
        <x:v>assistant_source_reviewed_pending_author_signoff</x:v>
      </x:c>
      <x:c r="Q50" s="60" t="str">
        <x:v>no</x:v>
      </x:c>
      <x:c r="R50" s="60" t="str">
        <x:v>https://arxiv.org/abs/2507.04724</x:v>
      </x:c>
      <x:c r="S50" s="60" t="str">
        <x:v>Yes</x:v>
      </x:c>
      <x:c r="T50" s="60" t="str">
        <x:v>No</x:v>
      </x:c>
      <x:c r="U50" s="60" t="str">
        <x:v>Yes</x:v>
      </x:c>
    </x:row>
    <x:row r="51">
      <x:c r="A51" s="60" t="n">
        <x:v>50</x:v>
      </x:c>
      <x:c r="B51" s="60" t="str">
        <x:v>standard_attack</x:v>
      </x:c>
      <x:c r="C51" s="60" t="str">
        <x:v>zhu2025_collaborative_shadows</x:v>
      </x:c>
      <x:c r="D51" s="60" t="str">
        <x:v>Collaborative Shadows: Distributed Backdoor Attacks in LLM-Based Multi-Agent Systems</x:v>
      </x:c>
      <x:c r="E51" s="60" t="str">
        <x:v>arXiv preprint</x:v>
      </x:c>
      <x:c r="F51" s="60" t="str">
        <x:v>arXiv v1 submitted 13 October 2025; no peer-reviewed publication verified.</x:v>
      </x:c>
      <x:c r="G51" s="60" t="str">
        <x:v>Title, six authors, arXiv identifier, submission date, and preprint-only status verified.</x:v>
      </x:c>
      <x:c r="H51" s="60" t="str">
        <x:v>core_security</x:v>
      </x:c>
      <x:c r="I51" s="60" t="str">
        <x:v>core_security</x:v>
      </x:c>
      <x:c r="J51" s="60" t="str">
        <x:v>attack</x:v>
      </x:c>
      <x:c r="K51" s="60" t="str">
        <x:v>attack</x:v>
      </x:c>
      <x:c r="L51" s="60" t="str">
        <x:v>Yes. Backdoor primitives are distributed across tools/roles and activate only through a specified cross-agent invocation sequence.</x:v>
      </x:c>
      <x:c r="M51" s="60" t="str">
        <x:v>preprint_attack_bearing</x:v>
      </x:c>
      <x:c r="N51" s="60" t="str">
        <x:v>Delegation/authority and action-integrity failure, with confidentiality impact in exfiltration cases.</x:v>
      </x:c>
      <x:c r="O51" s="60" t="str">
        <x:v>ready_after_major_patch</x:v>
      </x:c>
      <x:c r="P51" s="60" t="str">
        <x:v>assistant_source_reviewed_pending_author_signoff</x:v>
      </x:c>
      <x:c r="Q51" s="60" t="str">
        <x:v>yes</x:v>
      </x:c>
      <x:c r="R51" s="60" t="str">
        <x:v>https://arxiv.org/abs/2510.11246</x:v>
      </x:c>
      <x:c r="S51" s="60" t="str">
        <x:v>No</x:v>
      </x:c>
      <x:c r="T51" s="60" t="str">
        <x:v>No</x:v>
      </x:c>
      <x:c r="U51" s="60" t="str">
        <x:v>Yes</x:v>
      </x:c>
    </x:row>
    <x:row r="52">
      <x:c r="A52" s="60" t="n">
        <x:v>51</x:v>
      </x:c>
      <x:c r="B52" s="60" t="str">
        <x:v>standard_attack</x:v>
      </x:c>
      <x:c r="C52" s="60" t="str">
        <x:v>liang2025_dont_trust_upstream</x:v>
      </x:c>
      <x:c r="D52" s="60" t="str">
        <x:v>Don't Trust Your Upstream: Exploiting LLM Multi-Agent System via Topology-Guided Adversarial Propagation</x:v>
      </x:c>
      <x:c r="E52" s="60" t="str">
        <x:v>arXiv preprint</x:v>
      </x:c>
      <x:c r="F52" s="60" t="str">
        <x:v>arXiv v2 revised 4 May 2026; no peer-reviewed publication verified.</x:v>
      </x:c>
      <x:c r="G52" s="60" t="str">
        <x:v>Title, nine authors, arXiv ID, v2 date, and preprint-only status verified.</x:v>
      </x:c>
      <x:c r="H52" s="60" t="str">
        <x:v>core_security</x:v>
      </x:c>
      <x:c r="I52" s="60" t="str">
        <x:v>core_security</x:v>
      </x:c>
      <x:c r="J52" s="60" t="str">
        <x:v>attack</x:v>
      </x:c>
      <x:c r="K52" s="60" t="str">
        <x:v>attack</x:v>
      </x:c>
      <x:c r="L52" s="60" t="str">
        <x:v>Yes. The attack infers a hidden graph, selects an entry-to-privileged-agent path, and propagates contamination over multiple inter-agent hops.</x:v>
      </x:c>
      <x:c r="M52" s="60" t="str">
        <x:v>preprint_attack_bearing</x:v>
      </x:c>
      <x:c r="N52" s="60" t="str">
        <x:v>Compromise containment and delegation/authority integrity failure.</x:v>
      </x:c>
      <x:c r="O52" s="60" t="str">
        <x:v>ready_after_major_patch</x:v>
      </x:c>
      <x:c r="P52" s="60" t="str">
        <x:v>assistant_source_reviewed_pending_author_signoff</x:v>
      </x:c>
      <x:c r="Q52" s="60" t="str">
        <x:v>yes</x:v>
      </x:c>
      <x:c r="R52" s="60" t="str">
        <x:v>https://arxiv.org/abs/2512.04129</x:v>
      </x:c>
      <x:c r="S52" s="60" t="str">
        <x:v>No</x:v>
      </x:c>
      <x:c r="T52" s="60" t="str">
        <x:v>No</x:v>
      </x:c>
      <x:c r="U52" s="60" t="str">
        <x:v>Yes</x:v>
      </x:c>
    </x:row>
    <x:row r="53">
      <x:c r="A53" s="60" t="n">
        <x:v>52</x:v>
      </x:c>
      <x:c r="B53" s="60" t="str">
        <x:v>standard_attack</x:v>
      </x:c>
      <x:c r="C53" s="60" t="str">
        <x:v>weckbecker2026_thought_virus</x:v>
      </x:c>
      <x:c r="D53" s="60" t="str">
        <x:v>Thought Virus: Viral Misalignment via Subliminal Prompting in Multi-Agent Systems</x:v>
      </x:c>
      <x:c r="E53" s="60" t="str">
        <x:v>arXiv preprint</x:v>
      </x:c>
      <x:c r="F53" s="60" t="str">
        <x:v>arXiv v1; no peer-reviewed publication verified.</x:v>
      </x:c>
      <x:c r="G53" s="60" t="str">
        <x:v>Title, four authors, arXiv ID, and preprint status verified.</x:v>
      </x:c>
      <x:c r="H53" s="60" t="str">
        <x:v>core_security</x:v>
      </x:c>
      <x:c r="I53" s="60" t="str">
        <x:v>security_relevant</x:v>
      </x:c>
      <x:c r="J53" s="60" t="str">
        <x:v>attack</x:v>
      </x:c>
      <x:c r="K53" s="60" t="str">
        <x:v>attack</x:v>
      </x:c>
      <x:c r="L53" s="60" t="str">
        <x:v>Yes. A seeded preference propagates through ordinary paraphrased messages to downstream agents, including after the original seeded agent exits.</x:v>
      </x:c>
      <x:c r="M53" s="60" t="str">
        <x:v>preprint_attack_bearing</x:v>
      </x:c>
      <x:c r="N53" s="60" t="str">
        <x:v>Compromise propagation/collective value or truthfulness integrity degradation.</x:v>
      </x:c>
      <x:c r="O53" s="60" t="str">
        <x:v>ready_after_major_patch</x:v>
      </x:c>
      <x:c r="P53" s="60" t="str">
        <x:v>assistant_source_reviewed_pending_author_signoff</x:v>
      </x:c>
      <x:c r="Q53" s="60" t="str">
        <x:v>no</x:v>
      </x:c>
      <x:c r="R53" s="60" t="str">
        <x:v>https://arxiv.org/abs/2603.00131</x:v>
      </x:c>
      <x:c r="S53" s="60" t="str">
        <x:v>No</x:v>
      </x:c>
      <x:c r="T53" s="60" t="str">
        <x:v>Yes</x:v>
      </x:c>
      <x:c r="U53" s="60" t="str">
        <x:v>Yes</x:v>
      </x:c>
    </x:row>
    <x:row r="54">
      <x:c r="A54" s="60" t="n">
        <x:v>53</x:v>
      </x:c>
      <x:c r="B54" s="60" t="str">
        <x:v>standard_attack</x:v>
      </x:c>
      <x:c r="C54" s="60" t="str">
        <x:v>lupinacci2025darkside</x:v>
      </x:c>
      <x:c r="D54" s="60" t="str">
        <x:v>The Dark Side of LLMs: Agent-based Attack Vectors for System-level Compromise</x:v>
      </x:c>
      <x:c r="E54" s="60" t="str">
        <x:v>arXiv preprint</x:v>
      </x:c>
      <x:c r="F54" s="60" t="str">
        <x:v>arXiv v6 revised 9 May 2026; no peer-reviewed publication verified.</x:v>
      </x:c>
      <x:c r="G54" s="60" t="str">
        <x:v>Title, six authors, arXiv ID, and v6 history verified.</x:v>
      </x:c>
      <x:c r="H54" s="60" t="str">
        <x:v>core_security</x:v>
      </x:c>
      <x:c r="I54" s="60" t="str">
        <x:v>security_relevant</x:v>
      </x:c>
      <x:c r="J54" s="60" t="str">
        <x:v>attack</x:v>
      </x:c>
      <x:c r="K54" s="60" t="str">
        <x:v>attack</x:v>
      </x:c>
      <x:c r="L54" s="60" t="str">
        <x:v>Partially. The Inter-Agent Trust Exploitation condition is explicitly peer-to-peer and interaction dependent; direct prompt and RAG conditions are single-agent baselines/comparators.</x:v>
      </x:c>
      <x:c r="M54" s="60" t="str">
        <x:v>preprint_attack_bearing</x:v>
      </x:c>
      <x:c r="N54" s="60" t="str">
        <x:v>Cross-agent authorization and action-integrity failure.</x:v>
      </x:c>
      <x:c r="O54" s="60" t="str">
        <x:v>ready_after_major_patch</x:v>
      </x:c>
      <x:c r="P54" s="60" t="str">
        <x:v>assistant_source_reviewed_pending_author_signoff</x:v>
      </x:c>
      <x:c r="Q54" s="60" t="str">
        <x:v>yes</x:v>
      </x:c>
      <x:c r="R54" s="60" t="str">
        <x:v>https://arxiv.org/abs/2507.06850</x:v>
      </x:c>
      <x:c r="S54" s="60" t="str">
        <x:v>No</x:v>
      </x:c>
      <x:c r="T54" s="60" t="str">
        <x:v>Yes</x:v>
      </x:c>
      <x:c r="U54" s="60" t="str">
        <x:v>Yes</x:v>
      </x:c>
    </x:row>
    <x:row r="55">
      <x:c r="A55" s="60" t="n">
        <x:v>54</x:v>
      </x:c>
      <x:c r="B55" s="60" t="str">
        <x:v>standard_attack</x:v>
      </x:c>
      <x:c r="C55" s="60" t="str">
        <x:v>sun2026insider</x:v>
      </x:c>
      <x:c r="D55" s="60" t="str">
        <x:v>Insider Attacks in Multi-Agent LLM Consensus Systems</x:v>
      </x:c>
      <x:c r="E55" s="60" t="str">
        <x:v>arXiv preprint</x:v>
      </x:c>
      <x:c r="F55" s="60" t="str">
        <x:v>arXiv v1 submitted 8 May 2026; explicitly preliminary, no peer-reviewed publication verified.</x:v>
      </x:c>
      <x:c r="G55" s="60" t="str">
        <x:v>Title, four authors, arXiv ID/date, and preprint-only status verified.</x:v>
      </x:c>
      <x:c r="H55" s="60" t="str">
        <x:v>core_security</x:v>
      </x:c>
      <x:c r="I55" s="60" t="str">
        <x:v>core_security</x:v>
      </x:c>
      <x:c r="J55" s="60" t="str">
        <x:v>attack</x:v>
      </x:c>
      <x:c r="K55" s="60" t="str">
        <x:v>attack</x:v>
      </x:c>
      <x:c r="L55" s="60" t="str">
        <x:v>Yes. The attack objective is to delay/prevent agreement among benign members by sending protocol-valid adaptive messages.</x:v>
      </x:c>
      <x:c r="M55" s="60" t="str">
        <x:v>preliminary_preprint_attack_bearing</x:v>
      </x:c>
      <x:c r="N55" s="60" t="str">
        <x:v>Collective agreement/termination and decision-integrity failure.</x:v>
      </x:c>
      <x:c r="O55" s="60" t="str">
        <x:v>ready_after_major_patch</x:v>
      </x:c>
      <x:c r="P55" s="60" t="str">
        <x:v>assistant_source_reviewed_pending_author_signoff</x:v>
      </x:c>
      <x:c r="Q55" s="60" t="str">
        <x:v>no</x:v>
      </x:c>
      <x:c r="R55" s="60" t="str">
        <x:v>https://arxiv.org/abs/2605.08268</x:v>
      </x:c>
      <x:c r="S55" s="60" t="str">
        <x:v>No</x:v>
      </x:c>
      <x:c r="T55" s="60" t="str">
        <x:v>No</x:v>
      </x:c>
      <x:c r="U55" s="60" t="str">
        <x:v>Yes</x:v>
      </x:c>
    </x:row>
    <x:row r="56">
      <x:c r="A56" s="60" t="n">
        <x:v>55</x:v>
      </x:c>
      <x:c r="B56" s="60" t="str">
        <x:v>standard_attack</x:v>
      </x:c>
      <x:c r="C56" s="60" t="str">
        <x:v>ahad2026sif</x:v>
      </x:c>
      <x:c r="D56" s="60" t="str">
        <x:v>Semantic Intent Fragmentation: A Single-Shot Compositional Attack on Multi-Agent AI Pipelines</x:v>
      </x:c>
      <x:c r="E56" s="60" t="str">
        <x:v>AAAI Symposium Series, Vol. 9 No. 1, pp. 229–237</x:v>
      </x:c>
      <x:c r="F56" s="60" t="str">
        <x:v>Published AAAI Symposium Series paper; arXiv full text available.</x:v>
      </x:c>
      <x:c r="G56" s="60" t="str">
        <x:v>Title/authors/DOI/volume/page range are supported by publisher metadata in the corpus; publisher page returned a transient fetch error and requires author signoff.</x:v>
      </x:c>
      <x:c r="H56" s="60" t="str">
        <x:v>core_security</x:v>
      </x:c>
      <x:c r="I56" s="60" t="str">
        <x:v>security_relevant</x:v>
      </x:c>
      <x:c r="J56" s="60" t="str">
        <x:v>attack</x:v>
      </x:c>
      <x:c r="K56" s="60" t="str">
        <x:v>attack</x:v>
      </x:c>
      <x:c r="L56" s="60" t="str">
        <x:v>Boundary case. One orchestrator decomposes a request into locally checked subtasks/components; the security claim is compositional and multi-component, but the record does not clearly establish independently stateful LLM agent cores for every component.</x:v>
      </x:c>
      <x:c r="M56" s="60" t="str">
        <x:v>workshop_attack_bearing</x:v>
      </x:c>
      <x:c r="N56" s="60" t="str">
        <x:v>Compositional authorization and information-flow/action-integrity failure.</x:v>
      </x:c>
      <x:c r="O56" s="60" t="str">
        <x:v>ready_after_major_patch</x:v>
      </x:c>
      <x:c r="P56" s="60" t="str">
        <x:v>assistant_source_reviewed_pending_author_signoff</x:v>
      </x:c>
      <x:c r="Q56" s="60" t="str">
        <x:v>yes</x:v>
      </x:c>
      <x:c r="R56" s="60" t="str">
        <x:v>https://ojs.aaai.org/index.php/AAAI-SS/article/view/42936</x:v>
      </x:c>
      <x:c r="S56" s="60" t="str">
        <x:v>No</x:v>
      </x:c>
      <x:c r="T56" s="60" t="str">
        <x:v>Yes</x:v>
      </x:c>
      <x:c r="U56" s="60" t="str">
        <x:v>No</x:v>
      </x:c>
    </x:row>
    <x:row r="57">
      <x:c r="A57" s="60" t="n">
        <x:v>56</x:v>
      </x:c>
      <x:c r="B57" s="60" t="str">
        <x:v>standard_attack</x:v>
      </x:c>
      <x:c r="C57" s="60" t="str">
        <x:v>cai2026grmp</x:v>
      </x:c>
      <x:c r="D57" s="60" t="str">
        <x:v>Graph Representation-based Model Poisoning on the Heterogeneous Internet of Agents</x:v>
      </x:c>
      <x:c r="E57" s="60" t="str">
        <x:v>IEEE IWCMC 2026</x:v>
      </x:c>
      <x:c r="F57" s="60" t="str">
        <x:v>Accepted/published IWCMC 2026 metadata; arXiv v3 revised 8 April 2026 provides full text.</x:v>
      </x:c>
      <x:c r="G57" s="60" t="str">
        <x:v>Six-author formal list verified, but author order in the current queue/note is wrong: official/arXiv order is Cai, Wang, Dong, Li, Zou, Akan.</x:v>
      </x:c>
      <x:c r="H57" s="60" t="str">
        <x:v>core_security</x:v>
      </x:c>
      <x:c r="I57" s="60" t="str">
        <x:v>adjacent</x:v>
      </x:c>
      <x:c r="J57" s="60" t="str">
        <x:v>attack</x:v>
      </x:c>
      <x:c r="K57" s="60" t="str">
        <x:v>attack</x:v>
      </x:c>
      <x:c r="L57" s="60" t="str">
        <x:v>Adjacent rather than core runtime MAS. The participants perform federated fine-tuning and exchange model updates with a central server, not runtime interaction among independently acting LLM agents.</x:v>
      </x:c>
      <x:c r="M57" s="60" t="str">
        <x:v>adjacent_attack_bearing</x:v>
      </x:c>
      <x:c r="N57" s="60" t="str">
        <x:v>Distributed training/global-model integrity failure.</x:v>
      </x:c>
      <x:c r="O57" s="60" t="str">
        <x:v>ready_after_major_patch</x:v>
      </x:c>
      <x:c r="P57" s="60" t="str">
        <x:v>assistant_source_reviewed_pending_author_signoff</x:v>
      </x:c>
      <x:c r="Q57" s="60" t="str">
        <x:v>no</x:v>
      </x:c>
      <x:c r="R57" s="60" t="str">
        <x:v>https://doi.org/10.1109/IWCMC69287.2026.11579822</x:v>
      </x:c>
      <x:c r="S57" s="60" t="str">
        <x:v>No</x:v>
      </x:c>
      <x:c r="T57" s="60" t="str">
        <x:v>Yes</x:v>
      </x:c>
      <x:c r="U57" s="60" t="str">
        <x:v>Yes</x:v>
      </x:c>
    </x:row>
    <x:row r="58">
      <x:c r="A58" s="60" t="n">
        <x:v>57</x:v>
      </x:c>
      <x:c r="B58" s="60" t="str">
        <x:v>standard_attack</x:v>
      </x:c>
      <x:c r="C58" s="60" t="str">
        <x:v>huang2026mcpthreatmodel</x:v>
      </x:c>
      <x:c r="D58" s="60" t="str">
        <x:v>Model Context Protocol Threat Modeling and Analysis of Vulnerabilities to Prompt Injection with Tool Poisoning</x:v>
      </x:c>
      <x:c r="E58" s="60" t="str">
        <x:v>Journal of Cybersecurity and Privacy 6(3), Article 84</x:v>
      </x:c>
      <x:c r="F58" s="60" t="str">
        <x:v>Published journal article; publisher metadata and DOI recorded.</x:v>
      </x:c>
      <x:c r="G58" s="60" t="str">
        <x:v>Title, four authors, journal/volume/issue/article and DOI are consistent in the publisher/Crossref-derived record; publisher web fetch was rate-limited, so final pagination/metadata requires signoff.</x:v>
      </x:c>
      <x:c r="H58" s="60" t="str">
        <x:v>core_security</x:v>
      </x:c>
      <x:c r="I58" s="60" t="str">
        <x:v>adjacent</x:v>
      </x:c>
      <x:c r="J58" s="60" t="str">
        <x:v>attack</x:v>
      </x:c>
      <x:c r="K58" s="60" t="str">
        <x:v>evaluation</x:v>
      </x:c>
      <x:c r="L58" s="60" t="str">
        <x:v>No under the strict core boundary. The system is an MCP host/client/LLM/server protocol stack; the attack does not require two independently stateful LLM-backed agent cores.</x:v>
      </x:c>
      <x:c r="M58" s="60" t="str">
        <x:v>adjacent_attack_bearing</x:v>
      </x:c>
      <x:c r="N58" s="60" t="str">
        <x:v>Protocol contextual integrity and delegated action-integrity failure.</x:v>
      </x:c>
      <x:c r="O58" s="60" t="str">
        <x:v>ready_after_major_patch</x:v>
      </x:c>
      <x:c r="P58" s="60" t="str">
        <x:v>assistant_source_reviewed_pending_author_signoff</x:v>
      </x:c>
      <x:c r="Q58" s="60" t="str">
        <x:v>no</x:v>
      </x:c>
      <x:c r="R58" s="60" t="str">
        <x:v>https://www.mdpi.com/2624-800X/6/3/84</x:v>
      </x:c>
      <x:c r="S58" s="60" t="str">
        <x:v>Yes</x:v>
      </x:c>
      <x:c r="T58" s="60" t="str">
        <x:v>Yes</x:v>
      </x:c>
      <x:c r="U58" s="60" t="str">
        <x:v>No</x:v>
      </x:c>
    </x:row>
    <x:row r="59">
      <x:c r="A59" s="60" t="n">
        <x:v>58</x:v>
      </x:c>
      <x:c r="B59" s="60" t="str">
        <x:v>standard_attack</x:v>
      </x:c>
      <x:c r="C59" s="60" t="str">
        <x:v>xiao2026sgoatmas</x:v>
      </x:c>
      <x:c r="D59" s="60" t="str">
        <x:v>You Don't Have to Be the One Doing Evil! Locate a Scapegoat within Multi-Agent Systems for Executing Covert Attacks</x:v>
      </x:c>
      <x:c r="E59" s="60" t="str">
        <x:v>FedKDD/FedMAS Workshop 2026, Oral</x:v>
      </x:c>
      <x:c r="F59" s="60" t="str">
        <x:v>Accepted workshop oral on OpenReview; no DOI recorded. Earlier anonymous submission should not be counted separately.</x:v>
      </x:c>
      <x:c r="G59" s="60" t="str">
        <x:v>Title, nine authors, and workshop-oral status are recorded in the canonical OpenReview/repository note; exact public venue metadata should receive author signoff due OpenReview anti-bot page.</x:v>
      </x:c>
      <x:c r="H59" s="60" t="str">
        <x:v>core_security</x:v>
      </x:c>
      <x:c r="I59" s="60" t="str">
        <x:v>core_security</x:v>
      </x:c>
      <x:c r="J59" s="60" t="str">
        <x:v>attack</x:v>
      </x:c>
      <x:c r="K59" s="60" t="str">
        <x:v>attack</x:v>
      </x:c>
      <x:c r="L59" s="60" t="str">
        <x:v>Yes. The attack selects a workflow edge and induces a downstream honest member to emit the corrupting contribution, affecting both decision and attribution.</x:v>
      </x:c>
      <x:c r="M59" s="60" t="str">
        <x:v>workshop_attack_bearing</x:v>
      </x:c>
      <x:c r="N59" s="60" t="str">
        <x:v>Collective decision integrity and accountability/attribution failure.</x:v>
      </x:c>
      <x:c r="O59" s="60" t="str">
        <x:v>ready_after_minor_patch</x:v>
      </x:c>
      <x:c r="P59" s="60" t="str">
        <x:v>assistant_source_reviewed_pending_author_signoff</x:v>
      </x:c>
      <x:c r="Q59" s="60" t="str">
        <x:v>no</x:v>
      </x:c>
      <x:c r="R59" s="60" t="str">
        <x:v>https://openreview.net/forum?id=CIRI47rmLQ</x:v>
      </x:c>
      <x:c r="S59" s="60" t="str">
        <x:v>No</x:v>
      </x:c>
      <x:c r="T59" s="60" t="str">
        <x:v>No</x:v>
      </x:c>
      <x:c r="U59" s="60" t="str">
        <x:v>No</x:v>
      </x:c>
    </x:row>
    <x:row r="60">
      <x:c r="A60" s="60" t="n">
        <x:v>59</x:v>
      </x:c>
      <x:c r="B60" s="60" t="str">
        <x:v>standard_attack</x:v>
      </x:c>
      <x:c r="C60" s="60" t="str">
        <x:v>han2025alignment_tipping</x:v>
      </x:c>
      <x:c r="D60" s="60" t="str">
        <x:v>Alignment Tipping Process: How Self-Evolution Pushes LLM Agents Off the Rails</x:v>
      </x:c>
      <x:c r="E60" s="60" t="str">
        <x:v>arXiv preprint</x:v>
      </x:c>
      <x:c r="F60" s="60" t="str">
        <x:v>arXiv v2 revised 11 February 2026; no peer-reviewed publication verified.</x:v>
      </x:c>
      <x:c r="G60" s="60" t="str">
        <x:v>Title, 12 authors, arXiv ID/version history, and preprint-only status verified.</x:v>
      </x:c>
      <x:c r="H60" s="60" t="str">
        <x:v>security_relevant</x:v>
      </x:c>
      <x:c r="I60" s="60" t="str">
        <x:v>security_relevant</x:v>
      </x:c>
      <x:c r="J60" s="60" t="str">
        <x:v>attack</x:v>
      </x:c>
      <x:c r="K60" s="60" t="str">
        <x:v>evaluation</x:v>
      </x:c>
      <x:c r="L60" s="60" t="str">
        <x:v>Mixed. Imitative Strategy Diffusion is explicitly multi-agent; Self-Interested Exploration is single-agent.</x:v>
      </x:c>
      <x:c r="M60" s="60" t="str">
        <x:v>not_attack_primary</x:v>
      </x:c>
      <x:c r="N60" s="60" t="str">
        <x:v>Collective objective/alignment integrity failure.</x:v>
      </x:c>
      <x:c r="O60" s="60" t="str">
        <x:v>ready_after_major_patch</x:v>
      </x:c>
      <x:c r="P60" s="60" t="str">
        <x:v>assistant_source_reviewed_pending_author_signoff</x:v>
      </x:c>
      <x:c r="Q60" s="60" t="str">
        <x:v>no</x:v>
      </x:c>
      <x:c r="R60" s="60" t="str">
        <x:v>https://arxiv.org/abs/2510.04860</x:v>
      </x:c>
      <x:c r="S60" s="60" t="str">
        <x:v>Yes</x:v>
      </x:c>
      <x:c r="T60" s="60" t="str">
        <x:v>No</x:v>
      </x:c>
      <x:c r="U60" s="60" t="str">
        <x:v>Yes</x:v>
      </x:c>
    </x:row>
    <x:row r="61">
      <x:c r="A61" s="60" t="n">
        <x:v>60</x:v>
      </x:c>
      <x:c r="B61" s="60" t="str">
        <x:v>standard_attack</x:v>
      </x:c>
      <x:c r="C61" s="60" t="str">
        <x:v>long2025funcpoison</x:v>
      </x:c>
      <x:c r="D61" s="60" t="str">
        <x:v>FuncPoison: Poisoning Function Library to Hijack Multi-agent Autonomous Driving Systems</x:v>
      </x:c>
      <x:c r="E61" s="60" t="str">
        <x:v>arXiv preprint</x:v>
      </x:c>
      <x:c r="F61" s="60" t="str">
        <x:v>arXiv v2 revised 29 December 2025; no peer-reviewed publication verified.</x:v>
      </x:c>
      <x:c r="G61" s="60" t="str">
        <x:v>Title, two authors, arXiv ID/version history, and preprint-only status verified.</x:v>
      </x:c>
      <x:c r="H61" s="60" t="str">
        <x:v>core_security</x:v>
      </x:c>
      <x:c r="I61" s="60" t="str">
        <x:v>core_security</x:v>
      </x:c>
      <x:c r="J61" s="60" t="str">
        <x:v>attack</x:v>
      </x:c>
      <x:c r="K61" s="60" t="str">
        <x:v>attack</x:v>
      </x:c>
      <x:c r="L61" s="60" t="str">
        <x:v>Yes. A poisoned shared function changes one specialized agent’s output and downstream agents consume the corrupted result in a driving pipeline.</x:v>
      </x:c>
      <x:c r="M61" s="60" t="str">
        <x:v>preprint_attack_bearing</x:v>
      </x:c>
      <x:c r="N61" s="60" t="str">
        <x:v>Communication/shared-artifact and joint trajectory/action-integrity failure.</x:v>
      </x:c>
      <x:c r="O61" s="60" t="str">
        <x:v>ready_after_major_patch</x:v>
      </x:c>
      <x:c r="P61" s="60" t="str">
        <x:v>assistant_source_reviewed_pending_author_signoff</x:v>
      </x:c>
      <x:c r="Q61" s="60" t="str">
        <x:v>yes</x:v>
      </x:c>
      <x:c r="R61" s="60" t="str">
        <x:v>https://arxiv.org/abs/2509.24408</x:v>
      </x:c>
      <x:c r="S61" s="60" t="str">
        <x:v>No</x:v>
      </x:c>
      <x:c r="T61" s="60" t="str">
        <x:v>No</x:v>
      </x:c>
      <x:c r="U61" s="60" t="str">
        <x:v>Yes</x:v>
      </x:c>
    </x:row>
    <x:row r="62">
      <x:c r="A62" s="60" t="n">
        <x:v>61</x:v>
      </x:c>
      <x:c r="B62" s="60" t="str">
        <x:v>standard_attack</x:v>
      </x:c>
      <x:c r="C62" s="60" t="str">
        <x:v>naik2026omni_leak</x:v>
      </x:c>
      <x:c r="D62" s="60" t="str">
        <x:v>OMNI-LEAK: Orchestrator Multi-Agent Network Induced Data Leakage</x:v>
      </x:c>
      <x:c r="E62" s="60" t="str">
        <x:v>arXiv preprint</x:v>
      </x:c>
      <x:c r="F62" s="60" t="str">
        <x:v>arXiv v2 revised 25 February 2026; no peer-reviewed publication verified.</x:v>
      </x:c>
      <x:c r="G62" s="60" t="str">
        <x:v>Title, seven-author page list, arXiv ID/version history, and preprint status verified. ArXiv’s condensed “by ... and 5 other authors” display is inconsistent with the seven names and should not be used for counting.</x:v>
      </x:c>
      <x:c r="H62" s="60" t="str">
        <x:v>core_security</x:v>
      </x:c>
      <x:c r="I62" s="60" t="str">
        <x:v>core_security</x:v>
      </x:c>
      <x:c r="J62" s="60" t="str">
        <x:v>attack</x:v>
      </x:c>
      <x:c r="K62" s="60" t="str">
        <x:v>attack</x:v>
      </x:c>
      <x:c r="L62" s="60" t="str">
        <x:v>Yes. One indirect injection crosses a data agent, orchestrator, and separate notification agent with distinct tools/permissions to exfiltrate data.</x:v>
      </x:c>
      <x:c r="M62" s="60" t="str">
        <x:v>preprint_attack_bearing</x:v>
      </x:c>
      <x:c r="N62" s="60" t="str">
        <x:v>Cross-principal confidentiality and delegation/authorization integrity failure.</x:v>
      </x:c>
      <x:c r="O62" s="60" t="str">
        <x:v>ready_after_minor_patch</x:v>
      </x:c>
      <x:c r="P62" s="60" t="str">
        <x:v>assistant_source_reviewed_pending_author_signoff</x:v>
      </x:c>
      <x:c r="Q62" s="60" t="str">
        <x:v>yes</x:v>
      </x:c>
      <x:c r="R62" s="60" t="str">
        <x:v>https://arxiv.org/abs/2602.13477</x:v>
      </x:c>
      <x:c r="S62" s="60" t="str">
        <x:v>No</x:v>
      </x:c>
      <x:c r="T62" s="60" t="str">
        <x:v>No</x:v>
      </x:c>
      <x:c r="U62" s="60" t="str">
        <x:v>Yes</x:v>
      </x:c>
    </x:row>
    <x:row r="63">
      <x:c r="A63" s="60" t="n">
        <x:v>62</x:v>
      </x:c>
      <x:c r="B63" s="60" t="str">
        <x:v>standard_attack</x:v>
      </x:c>
      <x:c r="C63" s="60" t="str">
        <x:v>zhou2026shield_target</x:v>
      </x:c>
      <x:c r="D63" s="60" t="str">
        <x:v>From Shield to Target: Denial-of-Service Attacks on LLM-Based Agent Guardrails</x:v>
      </x:c>
      <x:c r="E63" s="60" t="str">
        <x:v>arXiv preprint</x:v>
      </x:c>
      <x:c r="F63" s="60" t="str">
        <x:v>arXiv v2 revised 16 June 2026; no peer-reviewed publication verified.</x:v>
      </x:c>
      <x:c r="G63" s="60" t="str">
        <x:v>Title, six authors, arXiv ID/version history, and preprint status verified.</x:v>
      </x:c>
      <x:c r="H63" s="60" t="str">
        <x:v>security_relevant</x:v>
      </x:c>
      <x:c r="I63" s="60" t="str">
        <x:v>security_relevant</x:v>
      </x:c>
      <x:c r="J63" s="60" t="str">
        <x:v>attack</x:v>
      </x:c>
      <x:c r="K63" s="60" t="str">
        <x:v>attack</x:v>
      </x:c>
      <x:c r="L63" s="60" t="str">
        <x:v>Partially. The attack primitive targets any reasoning guardrail; MAS-specific harm arises when co-located agents share the saturated guardrail and experience head-of-line blocking/starvation.</x:v>
      </x:c>
      <x:c r="M63" s="60" t="str">
        <x:v>preprint_attack_bearing</x:v>
      </x:c>
      <x:c r="N63" s="60" t="str">
        <x:v>Shared-service availability and resource-isolation failure.</x:v>
      </x:c>
      <x:c r="O63" s="60" t="str">
        <x:v>ready_after_major_patch</x:v>
      </x:c>
      <x:c r="P63" s="60" t="str">
        <x:v>assistant_source_reviewed_pending_author_signoff</x:v>
      </x:c>
      <x:c r="Q63" s="60" t="str">
        <x:v>yes</x:v>
      </x:c>
      <x:c r="R63" s="60" t="str">
        <x:v>https://arxiv.org/abs/2606.14517</x:v>
      </x:c>
      <x:c r="S63" s="60" t="str">
        <x:v>No</x:v>
      </x:c>
      <x:c r="T63" s="60" t="str">
        <x:v>No</x:v>
      </x:c>
      <x:c r="U63" s="60" t="str">
        <x:v>Yes</x:v>
      </x:c>
    </x:row>
    <x:row r="64">
      <x:c r="A64" s="60" t="n">
        <x:v>63</x:v>
      </x:c>
      <x:c r="B64" s="60" t="str">
        <x:v>cross_category</x:v>
      </x:c>
      <x:c r="C64" s="60" t="str">
        <x:v>rosser2025agentbreeder</x:v>
      </x:c>
      <x:c r="D64" s="60" t="str">
        <x:v>AgentBreeder: Mitigating the AI Safety Risks of Multi-Agent Scaffolds via Self-Improvement</x:v>
      </x:c>
      <x:c r="E64" s="60" t="str">
        <x:v>NeurIPS 2025 Main Conference, Spotlight</x:v>
      </x:c>
      <x:c r="F64" s="60" t="str">
        <x:v>Published NeurIPS 2025 spotlight; canonical conference title differs from the earlier arXiv title “Mitigating the AI Safety Impact of Multi-Agent Scaffolds.”</x:v>
      </x:c>
      <x:c r="G64" s="60" t="str">
        <x:v>NeurIPS official program verifies the conference title, two authors, 2025 spotlight status, and the 79.4% abstract result. Use the conference title and merge arXiv:2502.00757 as the earlier version.</x:v>
      </x:c>
      <x:c r="H64" s="60" t="str">
        <x:v>security_relevant</x:v>
      </x:c>
      <x:c r="I64" s="60" t="str">
        <x:v>security_relevant</x:v>
      </x:c>
      <x:c r="J64" s="60" t="str">
        <x:v>defense</x:v>
      </x:c>
      <x:c r="K64" s="60" t="str">
        <x:v>defense</x:v>
      </x:c>
      <x:c r="L64" s="60" t="str">
        <x:v>Yes as a system-design study: the unit is a generated multi-agent scaffold composed of roles, prompts, and communication structure. It is not a runtime malicious-member attack study.</x:v>
      </x:c>
      <x:c r="M64" s="60" t="str">
        <x:v>attack_relevant_no_discrete_runtime_attack_instance</x:v>
      </x:c>
      <x:c r="N64" s="60" t="str">
        <x:v>Compositional safety degradation or reward-hacked safety behavior at the scaffold level.</x:v>
      </x:c>
      <x:c r="O64" s="60" t="str">
        <x:v>ready_after_major_patch</x:v>
      </x:c>
      <x:c r="P64" s="60" t="str">
        <x:v>assistant_source_reviewed_pending_author_signoff</x:v>
      </x:c>
      <x:c r="Q64" s="60" t="str">
        <x:v>yes</x:v>
      </x:c>
      <x:c r="R64" s="60" t="str">
        <x:v>https://proceedings.neurips.cc/paper_files/paper/2025/hash/dc2ccde7ee43e5719e08c68e848bd65a-Abstract-Conference.html</x:v>
      </x:c>
      <x:c r="S64" s="60" t="str">
        <x:v>No</x:v>
      </x:c>
      <x:c r="T64" s="60" t="str">
        <x:v>No</x:v>
      </x:c>
      <x:c r="U64" s="60" t="str">
        <x:v>No</x:v>
      </x:c>
    </x:row>
    <x:row r="65">
      <x:c r="A65" s="60" t="n">
        <x:v>64</x:v>
      </x:c>
      <x:c r="B65" s="60" t="str">
        <x:v>cross_category</x:v>
      </x:c>
      <x:c r="C65" s="60" t="str">
        <x:v>mao2025agentsafe</x:v>
      </x:c>
      <x:c r="D65" s="60" t="str">
        <x:v>AgentSafe: Safeguarding Large Language Model-based Multi-agent Systems via Hierarchical Data Management</x:v>
      </x:c>
      <x:c r="E65" s="60" t="str">
        <x:v>arXiv preprint</x:v>
      </x:c>
      <x:c r="F65" s="60" t="str">
        <x:v>arXiv v2, 8 July 2025; no archival venue verified.</x:v>
      </x:c>
      <x:c r="G65" s="60" t="str">
        <x:v>arXiv verifies title, nine-author order, submission history, v2 status, and arXiv DOI.</x:v>
      </x:c>
      <x:c r="H65" s="60" t="str">
        <x:v>core_security</x:v>
      </x:c>
      <x:c r="I65" s="60" t="str">
        <x:v>core_security</x:v>
      </x:c>
      <x:c r="J65" s="60" t="str">
        <x:v>defense</x:v>
      </x:c>
      <x:c r="K65" s="60" t="str">
        <x:v>defense</x:v>
      </x:c>
      <x:c r="L65" s="60" t="str">
        <x:v>Yes. Agent identities, authority levels, inter-agent messages, and shared/persistent memory are explicit security objects.</x:v>
      </x:c>
      <x:c r="M65" s="60" t="str">
        <x:v>attack_bearing_defense_evaluation</x:v>
      </x:c>
      <x:c r="N65" s="60" t="str">
        <x:v>Cross-principal confidentiality and shared-state integrity failure.</x:v>
      </x:c>
      <x:c r="O65" s="60" t="str">
        <x:v>ready_after_minor_patch</x:v>
      </x:c>
      <x:c r="P65" s="60" t="str">
        <x:v>assistant_source_reviewed_pending_author_signoff</x:v>
      </x:c>
      <x:c r="Q65" s="60" t="str">
        <x:v>yes</x:v>
      </x:c>
      <x:c r="R65" s="60" t="str">
        <x:v>https://arxiv.org/abs/2503.04392</x:v>
      </x:c>
      <x:c r="S65" s="60" t="str">
        <x:v>No</x:v>
      </x:c>
      <x:c r="T65" s="60" t="str">
        <x:v>No</x:v>
      </x:c>
      <x:c r="U65" s="60" t="str">
        <x:v>Yes</x:v>
      </x:c>
    </x:row>
    <x:row r="66">
      <x:c r="A66" s="60" t="n">
        <x:v>65</x:v>
      </x:c>
      <x:c r="B66" s="60" t="str">
        <x:v>cross_category</x:v>
      </x:c>
      <x:c r="C66" s="60" t="str">
        <x:v>ebrahimi2025credibility</x:v>
      </x:c>
      <x:c r="D66" s="60" t="str">
        <x:v>An Adversary-Resistant Multi-Agent LLM System via Credibility Scoring</x:v>
      </x:c>
      <x:c r="E66" s="60" t="str">
        <x:v>IJCNLP-AACL 2025, pages 1676–1693</x:v>
      </x:c>
      <x:c r="F66" s="60" t="str">
        <x:v>Published archival conference paper, December 2025.</x:v>
      </x:c>
      <x:c r="G66" s="60" t="str">
        <x:v>ACL Anthology verifies title, three-author order, proceedings, year, pages, and DOI.</x:v>
      </x:c>
      <x:c r="H66" s="60" t="str">
        <x:v>core_security</x:v>
      </x:c>
      <x:c r="I66" s="60" t="str">
        <x:v>core_security</x:v>
      </x:c>
      <x:c r="J66" s="60" t="str">
        <x:v>defense</x:v>
      </x:c>
      <x:c r="K66" s="60" t="str">
        <x:v>defense</x:v>
      </x:c>
      <x:c r="L66" s="60" t="str">
        <x:v>Yes. Persistent agent identities communicate iteratively and credibility-weighted aggregation changes the collective output.</x:v>
      </x:c>
      <x:c r="M66" s="60" t="str">
        <x:v>attack_bearing_defense_evaluation</x:v>
      </x:c>
      <x:c r="N66" s="60" t="str">
        <x:v>Collective decision-integrity failure under adversarial member influence.</x:v>
      </x:c>
      <x:c r="O66" s="60" t="str">
        <x:v>ready_after_minor_patch</x:v>
      </x:c>
      <x:c r="P66" s="60" t="str">
        <x:v>assistant_source_reviewed_pending_author_signoff</x:v>
      </x:c>
      <x:c r="Q66" s="60" t="str">
        <x:v>yes</x:v>
      </x:c>
      <x:c r="R66" s="60" t="str">
        <x:v>https://aclanthology.org/2025.ijcnlp-long.90/</x:v>
      </x:c>
      <x:c r="S66" s="60" t="str">
        <x:v>No</x:v>
      </x:c>
      <x:c r="T66" s="60" t="str">
        <x:v>No</x:v>
      </x:c>
      <x:c r="U66" s="60" t="str">
        <x:v>No</x:v>
      </x:c>
    </x:row>
    <x:row r="67">
      <x:c r="A67" s="60" t="n">
        <x:v>66</x:v>
      </x:c>
      <x:c r="B67" s="60" t="str">
        <x:v>cross_category</x:v>
      </x:c>
      <x:c r="C67" s="60" t="str">
        <x:v>tailor2025auditwhisper</x:v>
      </x:c>
      <x:c r="D67" s="60" t="str">
        <x:v>Audit the Whisper: Detecting Steganographic Collusion in Multi-Agent LLMs</x:v>
      </x:c>
      <x:c r="E67" s="60" t="str">
        <x:v>arXiv preprint</x:v>
      </x:c>
      <x:c r="F67" s="60" t="str">
        <x:v>arXiv v2, 17 October 2025; no archival peer-reviewed venue verified.</x:v>
      </x:c>
      <x:c r="G67" s="60" t="str">
        <x:v>arXiv verifies title, sole author, v2 date, subject categories, and arXiv DOI.</x:v>
      </x:c>
      <x:c r="H67" s="60" t="str">
        <x:v>security_relevant</x:v>
      </x:c>
      <x:c r="I67" s="60" t="str">
        <x:v>core_security</x:v>
      </x:c>
      <x:c r="J67" s="60" t="str">
        <x:v>defense</x:v>
      </x:c>
      <x:c r="K67" s="60" t="str">
        <x:v>defense</x:v>
      </x:c>
      <x:c r="L67" s="60" t="str">
        <x:v>Yes. Covert coordination is defined among communicating agents relative to an auditor and evaluated across collusion settings.</x:v>
      </x:c>
      <x:c r="M67" s="60" t="str">
        <x:v>attack_bearing_defense_benchmark</x:v>
      </x:c>
      <x:c r="N67" s="60" t="str">
        <x:v>Oversight and collective-decision integrity failure through steganographic collusion.</x:v>
      </x:c>
      <x:c r="O67" s="60" t="str">
        <x:v>ready_after_minor_patch</x:v>
      </x:c>
      <x:c r="P67" s="60" t="str">
        <x:v>assistant_source_reviewed_pending_author_signoff</x:v>
      </x:c>
      <x:c r="Q67" s="60" t="str">
        <x:v>yes</x:v>
      </x:c>
      <x:c r="R67" s="60" t="str">
        <x:v>https://arxiv.org/abs/2510.04303</x:v>
      </x:c>
      <x:c r="S67" s="60" t="str">
        <x:v>No</x:v>
      </x:c>
      <x:c r="T67" s="60" t="str">
        <x:v>Yes</x:v>
      </x:c>
      <x:c r="U67" s="60" t="str">
        <x:v>Yes</x:v>
      </x:c>
    </x:row>
    <x:row r="68">
      <x:c r="A68" s="60" t="n">
        <x:v>67</x:v>
      </x:c>
      <x:c r="B68" s="60" t="str">
        <x:v>cross_category</x:v>
      </x:c>
      <x:c r="C68" s="60" t="str">
        <x:v>zou2025blocka2a</x:v>
      </x:c>
      <x:c r="D68" s="60" t="str">
        <x:v>BlockA2A: Towards Secure and Verifiable Agent-to-Agent Interoperability</x:v>
      </x:c>
      <x:c r="E68" s="60" t="str">
        <x:v>arXiv preprint</x:v>
      </x:c>
      <x:c r="F68" s="60" t="str">
        <x:v>arXiv v3, 21 September 2025; no archival peer-reviewed venue verified.</x:v>
      </x:c>
      <x:c r="G68" s="60" t="str">
        <x:v>arXiv verifies title, four-author order, v3 history, subjects, and arXiv DOI.</x:v>
      </x:c>
      <x:c r="H68" s="60" t="str">
        <x:v>core_security</x:v>
      </x:c>
      <x:c r="I68" s="60" t="str">
        <x:v>core_security</x:v>
      </x:c>
      <x:c r="J68" s="60" t="str">
        <x:v>defense</x:v>
      </x:c>
      <x:c r="K68" s="60" t="str">
        <x:v>defense</x:v>
      </x:c>
      <x:c r="L68" s="60" t="str">
        <x:v>Yes. Cross-domain agent identities, signed interactions, delegated permissions, task state, and accountability are first-class protocol objects.</x:v>
      </x:c>
      <x:c r="M68" s="60" t="str">
        <x:v>attack_bearing_defense_system</x:v>
      </x:c>
      <x:c r="N68" s="60" t="str">
        <x:v>Authentication, message/task integrity, authorization, provenance, and accountability failure.</x:v>
      </x:c>
      <x:c r="O68" s="60" t="str">
        <x:v>ready_after_major_patch</x:v>
      </x:c>
      <x:c r="P68" s="60" t="str">
        <x:v>assistant_source_reviewed_pending_author_signoff</x:v>
      </x:c>
      <x:c r="Q68" s="60" t="str">
        <x:v>yes</x:v>
      </x:c>
      <x:c r="R68" s="60" t="str">
        <x:v>https://arxiv.org/abs/2508.01332</x:v>
      </x:c>
      <x:c r="S68" s="60" t="str">
        <x:v>No</x:v>
      </x:c>
      <x:c r="T68" s="60" t="str">
        <x:v>No</x:v>
      </x:c>
      <x:c r="U68" s="60" t="str">
        <x:v>Yes</x:v>
      </x:c>
    </x:row>
    <x:row r="69">
      <x:c r="A69" s="60" t="n">
        <x:v>68</x:v>
      </x:c>
      <x:c r="B69" s="60" t="str">
        <x:v>cross_category</x:v>
      </x:c>
      <x:c r="C69" s="60" t="str">
        <x:v>jo2025byzantinerobust</x:v>
      </x:c>
      <x:c r="D69" s="60" t="str">
        <x:v>Byzantine-Robust Decentralized Coordination of LLM Agents</x:v>
      </x:c>
      <x:c r="E69" s="60" t="str">
        <x:v>arXiv preprint</x:v>
      </x:c>
      <x:c r="F69" s="60" t="str">
        <x:v>arXiv v1, 20 July 2025; no archival peer-reviewed venue verified.</x:v>
      </x:c>
      <x:c r="G69" s="60" t="str">
        <x:v>arXiv verifies title, two authors, v1 date, subject categories, and arXiv DOI.</x:v>
      </x:c>
      <x:c r="H69" s="60" t="str">
        <x:v>core_security</x:v>
      </x:c>
      <x:c r="I69" s="60" t="str">
        <x:v>core_security</x:v>
      </x:c>
      <x:c r="J69" s="60" t="str">
        <x:v>defense</x:v>
      </x:c>
      <x:c r="K69" s="60" t="str">
        <x:v>defense</x:v>
      </x:c>
      <x:c r="L69" s="60" t="str">
        <x:v>Yes. Worker proposals, evaluator rankings, and correctness/latency under Byzantine participants are defined over decentralized agent coordination.</x:v>
      </x:c>
      <x:c r="M69" s="60" t="str">
        <x:v>attack_bearing_defense_evaluation</x:v>
      </x:c>
      <x:c r="N69" s="60" t="str">
        <x:v>Collective decision integrity and coordination availability under Byzantine members.</x:v>
      </x:c>
      <x:c r="O69" s="60" t="str">
        <x:v>ready_after_major_patch</x:v>
      </x:c>
      <x:c r="P69" s="60" t="str">
        <x:v>assistant_source_reviewed_pending_author_signoff</x:v>
      </x:c>
      <x:c r="Q69" s="60" t="str">
        <x:v>yes</x:v>
      </x:c>
      <x:c r="R69" s="60" t="str">
        <x:v>https://arxiv.org/abs/2507.14928</x:v>
      </x:c>
      <x:c r="S69" s="60" t="str">
        <x:v>No</x:v>
      </x:c>
      <x:c r="T69" s="60" t="str">
        <x:v>No</x:v>
      </x:c>
      <x:c r="U69" s="60" t="str">
        <x:v>Yes</x:v>
      </x:c>
    </x:row>
    <x:row r="70">
      <x:c r="A70" s="60" t="n">
        <x:v>69</x:v>
      </x:c>
      <x:c r="B70" s="60" t="str">
        <x:v>cross_category</x:v>
      </x:c>
      <x:c r="C70" s="60" t="str">
        <x:v>wu2025cowpox</x:v>
      </x:c>
      <x:c r="D70" s="60" t="str">
        <x:v>Cowpox: Towards the Immunity of VLM-based Multi-Agent Systems</x:v>
      </x:c>
      <x:c r="E70" s="60" t="str">
        <x:v>ICML 2025, PMLR 267:68015–68035</x:v>
      </x:c>
      <x:c r="F70" s="60" t="str">
        <x:v>Published peer-reviewed ICML 2025 paper.</x:v>
      </x:c>
      <x:c r="G70" s="60" t="str">
        <x:v>PMLR verifies title, eight-author order, conference, volume, pages, and year.</x:v>
      </x:c>
      <x:c r="H70" s="60" t="str">
        <x:v>core_security</x:v>
      </x:c>
      <x:c r="I70" s="60" t="str">
        <x:v>core_security</x:v>
      </x:c>
      <x:c r="J70" s="60" t="str">
        <x:v>defense</x:v>
      </x:c>
      <x:c r="K70" s="60" t="str">
        <x:v>defense</x:v>
      </x:c>
      <x:c r="L70" s="60" t="str">
        <x:v>Yes. Both attack and cure samples propagate over a population of stateful VLM agents; containment and recovery are system-level quantities.</x:v>
      </x:c>
      <x:c r="M70" s="60" t="str">
        <x:v>attack_bearing_defense_evaluation</x:v>
      </x:c>
      <x:c r="N70" s="60" t="str">
        <x:v>Compromise propagation and containment failure.</x:v>
      </x:c>
      <x:c r="O70" s="60" t="str">
        <x:v>ready_after_minor_patch</x:v>
      </x:c>
      <x:c r="P70" s="60" t="str">
        <x:v>assistant_source_reviewed_pending_author_signoff</x:v>
      </x:c>
      <x:c r="Q70" s="60" t="str">
        <x:v>yes</x:v>
      </x:c>
      <x:c r="R70" s="60" t="str">
        <x:v>https://proceedings.mlr.press/v267/wu25aq.html</x:v>
      </x:c>
      <x:c r="S70" s="60" t="str">
        <x:v>No</x:v>
      </x:c>
      <x:c r="T70" s="60" t="str">
        <x:v>No</x:v>
      </x:c>
      <x:c r="U70" s="60" t="str">
        <x:v>No</x:v>
      </x:c>
    </x:row>
    <x:row r="71">
      <x:c r="A71" s="60" t="n">
        <x:v>70</x:v>
      </x:c>
      <x:c r="B71" s="60" t="str">
        <x:v>cross_category</x:v>
      </x:c>
      <x:c r="C71" s="60" t="str">
        <x:v>li2025argus</x:v>
      </x:c>
      <x:c r="D71" s="60" t="str">
        <x:v>Goal-Aware Identification and Rectification of Misinformation in Multi-Agent Systems</x:v>
      </x:c>
      <x:c r="E71" s="60" t="str">
        <x:v>arXiv preprint</x:v>
      </x:c>
      <x:c r="F71" s="60" t="str">
        <x:v>arXiv v1, 31 May 2025; no archival venue verified.</x:v>
      </x:c>
      <x:c r="G71" s="60" t="str">
        <x:v>arXiv verifies title, seven-author order, v1 date, subject area, and arXiv DOI.</x:v>
      </x:c>
      <x:c r="H71" s="60" t="str">
        <x:v>core_security</x:v>
      </x:c>
      <x:c r="I71" s="60" t="str">
        <x:v>security_relevant</x:v>
      </x:c>
      <x:c r="J71" s="60" t="str">
        <x:v>defense</x:v>
      </x:c>
      <x:c r="K71" s="60" t="str">
        <x:v>defense</x:v>
      </x:c>
      <x:c r="L71" s="60" t="str">
        <x:v>Yes. Misinformation moves through task-oriented inter-agent information flows and the defense uses the global task goal to identify and rectify messages.</x:v>
      </x:c>
      <x:c r="M71" s="60" t="str">
        <x:v>attack_bearing_defense_benchmark</x:v>
      </x:c>
      <x:c r="N71" s="60" t="str">
        <x:v>Collective factual/task integrity failure from misinformation propagation.</x:v>
      </x:c>
      <x:c r="O71" s="60" t="str">
        <x:v>ready_after_minor_patch</x:v>
      </x:c>
      <x:c r="P71" s="60" t="str">
        <x:v>assistant_source_reviewed_pending_author_signoff</x:v>
      </x:c>
      <x:c r="Q71" s="60" t="str">
        <x:v>no</x:v>
      </x:c>
      <x:c r="R71" s="60" t="str">
        <x:v>https://arxiv.org/abs/2506.00509</x:v>
      </x:c>
      <x:c r="S71" s="60" t="str">
        <x:v>No</x:v>
      </x:c>
      <x:c r="T71" s="60" t="str">
        <x:v>Yes</x:v>
      </x:c>
      <x:c r="U71" s="60" t="str">
        <x:v>Yes</x:v>
      </x:c>
    </x:row>
    <x:row r="72">
      <x:c r="A72" s="60" t="n">
        <x:v>71</x:v>
      </x:c>
      <x:c r="B72" s="60" t="str">
        <x:v>cross_category</x:v>
      </x:c>
      <x:c r="C72" s="60" t="str">
        <x:v>zhou2025guardian</x:v>
      </x:c>
      <x:c r="D72" s="60" t="str">
        <x:v>GUARDIAN: Safeguarding LLM Multi-Agent Collaborations with Temporal Graph Modeling</x:v>
      </x:c>
      <x:c r="E72" s="60" t="str">
        <x:v>NeurIPS 2025 Main Conference Track</x:v>
      </x:c>
      <x:c r="F72" s="60" t="str">
        <x:v>Published peer-reviewed NeurIPS 2025 paper.</x:v>
      </x:c>
      <x:c r="G72" s="60" t="str">
        <x:v>NeurIPS proceedings and official poster page verify title, three authors, main-track publication, and 2025 status.</x:v>
      </x:c>
      <x:c r="H72" s="60" t="str">
        <x:v>core_security</x:v>
      </x:c>
      <x:c r="I72" s="60" t="str">
        <x:v>core_security</x:v>
      </x:c>
      <x:c r="J72" s="60" t="str">
        <x:v>defense</x:v>
      </x:c>
      <x:c r="K72" s="60" t="str">
        <x:v>defense</x:v>
      </x:c>
      <x:c r="L72" s="60" t="str">
        <x:v>Yes. The defense reconstructs temporally ordered node and edge interactions across a multi-agent graph and prunes anomalous communication.</x:v>
      </x:c>
      <x:c r="M72" s="60" t="str">
        <x:v>attack_bearing_defense_evaluation</x:v>
      </x:c>
      <x:c r="N72" s="60" t="str">
        <x:v>Propagation containment and collective decision-integrity failure.</x:v>
      </x:c>
      <x:c r="O72" s="60" t="str">
        <x:v>ready_after_minor_patch</x:v>
      </x:c>
      <x:c r="P72" s="60" t="str">
        <x:v>assistant_source_reviewed_pending_author_signoff</x:v>
      </x:c>
      <x:c r="Q72" s="60" t="str">
        <x:v>yes</x:v>
      </x:c>
      <x:c r="R72" s="60" t="str">
        <x:v>https://proceedings.neurips.cc/paper_files/paper/2025/hash/0bc795afae289ed465a65a3b4b1f4eb7-Abstract-Conference.html</x:v>
      </x:c>
      <x:c r="S72" s="60" t="str">
        <x:v>No</x:v>
      </x:c>
      <x:c r="T72" s="60" t="str">
        <x:v>No</x:v>
      </x:c>
      <x:c r="U72" s="60" t="str">
        <x:v>No</x:v>
      </x:c>
    </x:row>
    <x:row r="73">
      <x:c r="A73" s="60" t="n">
        <x:v>72</x:v>
      </x:c>
      <x:c r="B73" s="60" t="str">
        <x:v>cross_category</x:v>
      </x:c>
      <x:c r="C73" s="60" t="str">
        <x:v>mao2025ibgp</x:v>
      </x:c>
      <x:c r="D73" s="60" t="str">
        <x:v>IBGP: Imperfect Byzantine Generals Problem for Zero-Shot Robustness in Communicative Multi-Agent Systems</x:v>
      </x:c>
      <x:c r="E73" s="60" t="str">
        <x:v>AAMAS 2025 Extended Abstract, pages 2654–2656</x:v>
      </x:c>
      <x:c r="F73" s="60" t="str">
        <x:v>Published 3-page AAMAS 2025 extended abstract.</x:v>
      </x:c>
      <x:c r="G73" s="60" t="str">
        <x:v>Official AAMAS PDF verifies title, six-author list, extended-abstract status, conference dates, and 3-page length. The queue/note author list is materially wrong.</x:v>
      </x:c>
      <x:c r="H73" s="60" t="str">
        <x:v>core_security</x:v>
      </x:c>
      <x:c r="I73" s="60" t="str">
        <x:v>security_relevant</x:v>
      </x:c>
      <x:c r="J73" s="60" t="str">
        <x:v>defense</x:v>
      </x:c>
      <x:c r="K73" s="60" t="str">
        <x:v>defense</x:v>
      </x:c>
      <x:c r="L73" s="60" t="str">
        <x:v>Yes. The formal object is partial/local coordination under malicious communicative agents, with explicit n, attacker count, k-threshold, and message broadcasts.</x:v>
      </x:c>
      <x:c r="M73" s="60" t="str">
        <x:v>attack_bearing_defense_formalization</x:v>
      </x:c>
      <x:c r="N73" s="60" t="str">
        <x:v>Local coordination integrity/mis-coordination under malicious members.</x:v>
      </x:c>
      <x:c r="O73" s="60" t="str">
        <x:v>ready_after_major_patch</x:v>
      </x:c>
      <x:c r="P73" s="60" t="str">
        <x:v>assistant_source_reviewed_pending_author_signoff</x:v>
      </x:c>
      <x:c r="Q73" s="60" t="str">
        <x:v>yes</x:v>
      </x:c>
      <x:c r="R73" s="60" t="str">
        <x:v>https://www.ifaamas.org/Proceedings/aamas2025/pdfs/p2654.pdf</x:v>
      </x:c>
      <x:c r="S73" s="60" t="str">
        <x:v>No</x:v>
      </x:c>
      <x:c r="T73" s="60" t="str">
        <x:v>Yes</x:v>
      </x:c>
      <x:c r="U73" s="60" t="str">
        <x:v>No</x:v>
      </x:c>
    </x:row>
    <x:row r="74">
      <x:c r="A74" s="60" t="n">
        <x:v>73</x:v>
      </x:c>
      <x:c r="B74" s="60" t="str">
        <x:v>cross_category</x:v>
      </x:c>
      <x:c r="C74" s="60" t="str">
        <x:v>cui2025maris</x:v>
      </x:c>
      <x:c r="D74" s="60" t="str">
        <x:v>Maris: A Formally Verifiable Privacy Policy Enforcement Paradigm for Multi-Agent Collaboration Systems</x:v>
      </x:c>
      <x:c r="E74" s="60" t="str">
        <x:v>arXiv preprint</x:v>
      </x:c>
      <x:c r="F74" s="60" t="str">
        <x:v>arXiv v5, 8 June 2026; no archival venue verified.</x:v>
      </x:c>
      <x:c r="G74" s="60" t="str">
        <x:v>arXiv verifies title, five-author order, v5 history, subject category, and arXiv DOI.</x:v>
      </x:c>
      <x:c r="H74" s="60" t="str">
        <x:v>core_security</x:v>
      </x:c>
      <x:c r="I74" s="60" t="str">
        <x:v>core_security</x:v>
      </x:c>
      <x:c r="J74" s="60" t="str">
        <x:v>defense</x:v>
      </x:c>
      <x:c r="K74" s="60" t="str">
        <x:v>defense</x:v>
      </x:c>
      <x:c r="L74" s="60" t="str">
        <x:v>Yes. Maris mediates privacy-sensitive flows among agents, LLM endpoints, tools, and users using principal-specific policies.</x:v>
      </x:c>
      <x:c r="M74" s="60" t="str">
        <x:v>attack_bearing_defense_system</x:v>
      </x:c>
      <x:c r="N74" s="60" t="str">
        <x:v>Cross-principal confidentiality and contextual-integrity violation.</x:v>
      </x:c>
      <x:c r="O74" s="60" t="str">
        <x:v>ready_after_minor_patch</x:v>
      </x:c>
      <x:c r="P74" s="60" t="str">
        <x:v>assistant_source_reviewed_pending_author_signoff</x:v>
      </x:c>
      <x:c r="Q74" s="60" t="str">
        <x:v>yes</x:v>
      </x:c>
      <x:c r="R74" s="60" t="str">
        <x:v>https://arxiv.org/abs/2505.04799</x:v>
      </x:c>
      <x:c r="S74" s="60" t="str">
        <x:v>No</x:v>
      </x:c>
      <x:c r="T74" s="60" t="str">
        <x:v>No</x:v>
      </x:c>
      <x:c r="U74" s="60" t="str">
        <x:v>Yes</x:v>
      </x:c>
    </x:row>
    <x:row r="75">
      <x:c r="A75" s="60" t="n">
        <x:v>74</x:v>
      </x:c>
      <x:c r="B75" s="60" t="str">
        <x:v>cross_category</x:v>
      </x:c>
      <x:c r="C75" s="60" t="str">
        <x:v>he2025atrust</x:v>
      </x:c>
      <x:c r="D75" s="60" t="str">
        <x:v>To trust or not to trust: Attention-based Trust Management for LLM Multi-Agent Systems</x:v>
      </x:c>
      <x:c r="E75" s="60" t="str">
        <x:v>arXiv preprint; arXiv comments claim acceptance to ACL 2026 main</x:v>
      </x:c>
      <x:c r="F75" s="60" t="str">
        <x:v>arXiv v2, 14 April 2026. An official ACL Anthology record was not located in this audit, so publication status remains unverified beyond the arXiv comment.</x:v>
      </x:c>
      <x:c r="G75" s="60" t="str">
        <x:v>arXiv verifies title, twelve-author order, v2 date, and acceptance comment. Do not upgrade venue to ACL until an official proceedings record is matched.</x:v>
      </x:c>
      <x:c r="H75" s="60" t="str">
        <x:v>security_relevant</x:v>
      </x:c>
      <x:c r="I75" s="60" t="str">
        <x:v>security_relevant</x:v>
      </x:c>
      <x:c r="J75" s="60" t="str">
        <x:v>defense</x:v>
      </x:c>
      <x:c r="K75" s="60" t="str">
        <x:v>defense</x:v>
      </x:c>
      <x:c r="L75" s="60" t="str">
        <x:v>Yes. The method scores incoming peer messages and persistent agent trust, then filters/down-weights them during collaboration.</x:v>
      </x:c>
      <x:c r="M75" s="60" t="str">
        <x:v>attack_bearing_defense_evaluation</x:v>
      </x:c>
      <x:c r="N75" s="60" t="str">
        <x:v>Collective decision-integrity degradation from untrustworthy contributions.</x:v>
      </x:c>
      <x:c r="O75" s="60" t="str">
        <x:v>ready_after_major_patch</x:v>
      </x:c>
      <x:c r="P75" s="60" t="str">
        <x:v>assistant_source_reviewed_pending_author_signoff</x:v>
      </x:c>
      <x:c r="Q75" s="60" t="str">
        <x:v>no</x:v>
      </x:c>
      <x:c r="R75" s="60" t="str">
        <x:v>https://arxiv.org/abs/2506.02546</x:v>
      </x:c>
      <x:c r="S75" s="60" t="str">
        <x:v>No</x:v>
      </x:c>
      <x:c r="T75" s="60" t="str">
        <x:v>No</x:v>
      </x:c>
      <x:c r="U75" s="60" t="str">
        <x:v>Yes</x:v>
      </x:c>
    </x:row>
    <x:row r="76">
      <x:c r="A76" s="60" t="n">
        <x:v>75</x:v>
      </x:c>
      <x:c r="B76" s="60" t="str">
        <x:v>cross_category</x:v>
      </x:c>
      <x:c r="C76" s="60" t="str">
        <x:v>rabieinejad2026alteda</x:v>
      </x:c>
      <x:c r="D76" s="60" t="str">
        <x:v>Beyond the prompt: Log-based threat detection and attribution for multi-Agent LLMs</x:v>
      </x:c>
      <x:c r="E76" s="60" t="str">
        <x:v>Information Processing &amp; Management 63(6), Article 104768</x:v>
      </x:c>
      <x:c r="F76" s="60" t="str">
        <x:v>Published peer-reviewed journal article.</x:v>
      </x:c>
      <x:c r="G76" s="60" t="str">
        <x:v>ScienceDirect/DOI metadata verify the published title, three authors, journal, volume/issue, article number, and DOI. The queue title ALTEDA is the framework name, not the canonical paper title.</x:v>
      </x:c>
      <x:c r="H76" s="60" t="str">
        <x:v>core_security</x:v>
      </x:c>
      <x:c r="I76" s="60" t="str">
        <x:v>core_security</x:v>
      </x:c>
      <x:c r="J76" s="60" t="str">
        <x:v>defense</x:v>
      </x:c>
      <x:c r="K76" s="60" t="str">
        <x:v>defense</x:v>
      </x:c>
      <x:c r="L76" s="60" t="str">
        <x:v>Yes. ALTEDA correlates application, network, and system telemetry across interacting agents and attributes detections to responsible agents/interactions.</x:v>
      </x:c>
      <x:c r="M76" s="60" t="str">
        <x:v>attack_bearing_defense_evaluation</x:v>
      </x:c>
      <x:c r="N76" s="60" t="str">
        <x:v>Detection/attribution failure when distributed attack evidence is fragmented across telemetry layers.</x:v>
      </x:c>
      <x:c r="O76" s="60" t="str">
        <x:v>ready_after_major_patch</x:v>
      </x:c>
      <x:c r="P76" s="60" t="str">
        <x:v>assistant_source_reviewed_pending_author_signoff</x:v>
      </x:c>
      <x:c r="Q76" s="60" t="str">
        <x:v>yes</x:v>
      </x:c>
      <x:c r="R76" s="60" t="str">
        <x:v>https://doi.org/10.1016/j.ipm.2026.104768</x:v>
      </x:c>
      <x:c r="S76" s="60" t="str">
        <x:v>No</x:v>
      </x:c>
      <x:c r="T76" s="60" t="str">
        <x:v>No</x:v>
      </x:c>
      <x:c r="U76" s="60" t="str">
        <x:v>No</x:v>
      </x:c>
    </x:row>
    <x:row r="77">
      <x:c r="A77" s="60" t="n">
        <x:v>76</x:v>
      </x:c>
      <x:c r="B77" s="60" t="str">
        <x:v>cross_category</x:v>
      </x:c>
      <x:c r="C77" s="60" t="str">
        <x:v>miao2026blindguard</x:v>
      </x:c>
      <x:c r="D77" s="60" t="str">
        <x:v>BlindGuard: Safeguarding LLM-based Multi-Agent Systems under Unknown Attacks</x:v>
      </x:c>
      <x:c r="E77" s="60" t="str">
        <x:v>ACL 2026, pages 39215–39234</x:v>
      </x:c>
      <x:c r="F77" s="60" t="str">
        <x:v>Published ACL 2026 long paper.</x:v>
      </x:c>
      <x:c r="G77" s="60" t="str">
        <x:v>ACL Anthology verifies title, eight-author order, year, pages, and DOI.</x:v>
      </x:c>
      <x:c r="H77" s="60" t="str">
        <x:v>core_security</x:v>
      </x:c>
      <x:c r="I77" s="60" t="str">
        <x:v>core_security</x:v>
      </x:c>
      <x:c r="J77" s="60" t="str">
        <x:v>defense</x:v>
      </x:c>
      <x:c r="K77" s="60" t="str">
        <x:v>defense</x:v>
      </x:c>
      <x:c r="L77" s="60" t="str">
        <x:v>Yes. Detection combines individual, neighborhood, and global graph context and remediation prunes edges incident to predicted malicious agents.</x:v>
      </x:c>
      <x:c r="M77" s="60" t="str">
        <x:v>attack_bearing_defense_evaluation</x:v>
      </x:c>
      <x:c r="N77" s="60" t="str">
        <x:v>Propagation containment and collective decision-integrity failure.</x:v>
      </x:c>
      <x:c r="O77" s="60" t="str">
        <x:v>ready_after_minor_patch</x:v>
      </x:c>
      <x:c r="P77" s="60" t="str">
        <x:v>assistant_source_reviewed_pending_author_signoff</x:v>
      </x:c>
      <x:c r="Q77" s="60" t="str">
        <x:v>yes</x:v>
      </x:c>
      <x:c r="R77" s="60" t="str">
        <x:v>https://aclanthology.org/2026.acl-long.1819/</x:v>
      </x:c>
      <x:c r="S77" s="60" t="str">
        <x:v>No</x:v>
      </x:c>
      <x:c r="T77" s="60" t="str">
        <x:v>No</x:v>
      </x:c>
      <x:c r="U77" s="60" t="str">
        <x:v>No</x:v>
      </x:c>
    </x:row>
    <x:row r="78">
      <x:c r="A78" s="60" t="n">
        <x:v>77</x:v>
      </x:c>
      <x:c r="B78" s="60" t="str">
        <x:v>cross_category</x:v>
      </x:c>
      <x:c r="C78" s="60" t="str">
        <x:v>pan2026xgguard</x:v>
      </x:c>
      <x:c r="D78" s="60" t="str">
        <x:v>Explainable and Fine-Grained Safeguarding of LLM Multi-Agent Systems via Bi-Level Graph Anomaly Detection</x:v>
      </x:c>
      <x:c r="E78" s="60" t="str">
        <x:v>ACL 2026, pages 30491–30506</x:v>
      </x:c>
      <x:c r="F78" s="60" t="str">
        <x:v>Published ACL 2026 long paper.</x:v>
      </x:c>
      <x:c r="G78" s="60" t="str">
        <x:v>ACL Anthology verifies title, eight-author order, year, pages, and DOI.</x:v>
      </x:c>
      <x:c r="H78" s="60" t="str">
        <x:v>core_security</x:v>
      </x:c>
      <x:c r="I78" s="60" t="str">
        <x:v>core_security</x:v>
      </x:c>
      <x:c r="J78" s="60" t="str">
        <x:v>defense</x:v>
      </x:c>
      <x:c r="K78" s="60" t="str">
        <x:v>defense</x:v>
      </x:c>
      <x:c r="L78" s="60" t="str">
        <x:v>Yes. The detector jointly models text and graph neighborhoods and localizes malicious responses/agents in interacting MAS.</x:v>
      </x:c>
      <x:c r="M78" s="60" t="str">
        <x:v>attack_bearing_defense_evaluation</x:v>
      </x:c>
      <x:c r="N78" s="60" t="str">
        <x:v>Propagation containment and collective decision-integrity failure.</x:v>
      </x:c>
      <x:c r="O78" s="60" t="str">
        <x:v>ready_after_minor_patch</x:v>
      </x:c>
      <x:c r="P78" s="60" t="str">
        <x:v>assistant_source_reviewed_pending_author_signoff</x:v>
      </x:c>
      <x:c r="Q78" s="60" t="str">
        <x:v>yes</x:v>
      </x:c>
      <x:c r="R78" s="60" t="str">
        <x:v>https://aclanthology.org/2026.acl-long.1407/</x:v>
      </x:c>
      <x:c r="S78" s="60" t="str">
        <x:v>No</x:v>
      </x:c>
      <x:c r="T78" s="60" t="str">
        <x:v>No</x:v>
      </x:c>
      <x:c r="U78" s="60" t="str">
        <x:v>No</x:v>
      </x:c>
    </x:row>
    <x:row r="79">
      <x:c r="A79" s="60" t="n">
        <x:v>78</x:v>
      </x:c>
      <x:c r="B79" s="60" t="str">
        <x:v>cross_category</x:v>
      </x:c>
      <x:c r="C79" s="60" t="str">
        <x:v>tapwal2026prism</x:v>
      </x:c>
      <x:c r="D79" s="60" t="str">
        <x:v>PRISM: Generation-Time Detection and Mitigation of Secret Leakage in Multi-Agent LLM Pipelines</x:v>
      </x:c>
      <x:c r="E79" s="60" t="str">
        <x:v>arXiv preprint</x:v>
      </x:c>
      <x:c r="F79" s="60" t="str">
        <x:v>arXiv v1, 11 May 2026; no archival venue verified.</x:v>
      </x:c>
      <x:c r="G79" s="60" t="str">
        <x:v>arXiv verifies title, three authors, v1 date, and arXiv DOI. The rendered arXiv line “by Riya Tapwal and 1 other authors” is an interface anomaly; the author list clearly contains three.</x:v>
      </x:c>
      <x:c r="H79" s="60" t="str">
        <x:v>core_security</x:v>
      </x:c>
      <x:c r="I79" s="60" t="str">
        <x:v>core_security</x:v>
      </x:c>
      <x:c r="J79" s="60" t="str">
        <x:v>defense</x:v>
      </x:c>
      <x:c r="K79" s="60" t="str">
        <x:v>defense</x:v>
      </x:c>
      <x:c r="L79" s="60" t="str">
        <x:v>Yes. The four-agent heterogeneous pipeline repeatedly exposes credential-bearing context to downstream generators and the defense accumulates risk across stages/tokens.</x:v>
      </x:c>
      <x:c r="M79" s="60" t="str">
        <x:v>attack_bearing_defense_benchmark</x:v>
      </x:c>
      <x:c r="N79" s="60" t="str">
        <x:v>Cross-principal confidentiality failure through propagation amplification.</x:v>
      </x:c>
      <x:c r="O79" s="60" t="str">
        <x:v>ready_after_minor_patch</x:v>
      </x:c>
      <x:c r="P79" s="60" t="str">
        <x:v>assistant_source_reviewed_pending_author_signoff</x:v>
      </x:c>
      <x:c r="Q79" s="60" t="str">
        <x:v>yes</x:v>
      </x:c>
      <x:c r="R79" s="60" t="str">
        <x:v>https://arxiv.org/abs/2605.10614</x:v>
      </x:c>
      <x:c r="S79" s="60" t="str">
        <x:v>No</x:v>
      </x:c>
      <x:c r="T79" s="60" t="str">
        <x:v>No</x:v>
      </x:c>
      <x:c r="U79" s="60" t="str">
        <x:v>Yes</x:v>
      </x:c>
    </x:row>
    <x:row r="80">
      <x:c r="A80" s="60" t="n">
        <x:v>79</x:v>
      </x:c>
      <x:c r="B80" s="60" t="str">
        <x:v>cross_category</x:v>
      </x:c>
      <x:c r="C80" s="60" t="str">
        <x:v>darabi2026bioautonomic</x:v>
      </x:c>
      <x:c r="D80" s="60" t="str">
        <x:v>Resilience in Ambient Multi-Agent LLMs via Decentralized Bio-Autonomic Control and Immune-Inspired Anomaly Detection</x:v>
      </x:c>
      <x:c r="E80" s="60" t="str">
        <x:v>AAAI 2026, Special Track on AI Alignment, 40(44):37332-37340</x:v>
      </x:c>
      <x:c r="F80" s="60" t="str">
        <x:v>Published AAAI 2026 archival version; official article metadata verified.</x:v>
      </x:c>
      <x:c r="G80" s="60" t="str">
        <x:v>verified_published</x:v>
      </x:c>
      <x:c r="H80" s="60" t="str">
        <x:v>security_relevant</x:v>
      </x:c>
      <x:c r="I80" s="60" t="str">
        <x:v>security_relevant</x:v>
      </x:c>
      <x:c r="J80" s="60" t="str">
        <x:v>defense</x:v>
      </x:c>
      <x:c r="K80" s="60" t="str">
        <x:v>defense</x:v>
      </x:c>
      <x:c r="L80" s="60" t="str">
        <x:v>yes: decentralized LLM agents exchange trust evidence and collectively respond to compromised peers</x:v>
      </x:c>
      <x:c r="M80" s="60" t="str">
        <x:v>confirmed_attack_bearing</x:v>
      </x:c>
      <x:c r="N80" s="60" t="str">
        <x:v>distributed collaboration integrity and resilience failure</x:v>
      </x:c>
      <x:c r="O80" s="60" t="str">
        <x:v>ready_after_major_patch</x:v>
      </x:c>
      <x:c r="P80" s="60" t="str">
        <x:v>assistant_source_reviewed_pending_author_signoff</x:v>
      </x:c>
      <x:c r="Q80" s="60" t="str">
        <x:v>yes: useful for decentralized-observer and recovery coverage findings</x:v>
      </x:c>
      <x:c r="R80" s="60" t="str">
        <x:v>https://ojs.aaai.org/index.php/AAAI/article/view/41065</x:v>
      </x:c>
      <x:c r="S80" s="60" t="str">
        <x:v>No</x:v>
      </x:c>
      <x:c r="T80" s="60" t="str">
        <x:v>No</x:v>
      </x:c>
      <x:c r="U80" s="60" t="str">
        <x:v>No</x:v>
      </x:c>
    </x:row>
    <x:row r="81">
      <x:c r="A81" s="60" t="n">
        <x:v>80</x:v>
      </x:c>
      <x:c r="B81" s="60" t="str">
        <x:v>cross_category</x:v>
      </x:c>
      <x:c r="C81" s="60" t="str">
        <x:v>zhou2026resmas</x:v>
      </x:c>
      <x:c r="D81" s="60" t="str">
        <x:v>ResMAS: Resilience Optimization in LLM-based Multi-agent Systems</x:v>
      </x:c>
      <x:c r="E81" s="60" t="str">
        <x:v>AAAI 2026, 40(41):35176-35184</x:v>
      </x:c>
      <x:c r="F81" s="60" t="str">
        <x:v>Published AAAI 2026 archival version; arXiv 2601.04694 is prepublication full text.</x:v>
      </x:c>
      <x:c r="G81" s="60" t="str">
        <x:v>verified_published</x:v>
      </x:c>
      <x:c r="H81" s="60" t="str">
        <x:v>security_relevant</x:v>
      </x:c>
      <x:c r="I81" s="60" t="str">
        <x:v>security_relevant</x:v>
      </x:c>
      <x:c r="J81" s="60" t="str">
        <x:v>defense</x:v>
      </x:c>
      <x:c r="K81" s="60" t="str">
        <x:v>defense</x:v>
      </x:c>
      <x:c r="L81" s="60" t="str">
        <x:v>yes: topology and distributed prompts among multiple LLM agents are the experimental variables</x:v>
      </x:c>
      <x:c r="M81" s="60" t="str">
        <x:v>adjacent_fault_evidence</x:v>
      </x:c>
      <x:c r="N81" s="60" t="str">
        <x:v>collective task robustness/reliability failure under agent perturbation</x:v>
      </x:c>
      <x:c r="O81" s="60" t="str">
        <x:v>ready_after_minor_patch</x:v>
      </x:c>
      <x:c r="P81" s="60" t="str">
        <x:v>assistant_source_reviewed_pending_author_signoff</x:v>
      </x:c>
      <x:c r="Q81" s="60" t="str">
        <x:v>yes: direct evidence for secure-by-design/topology optimization and security-reliability boundary</x:v>
      </x:c>
      <x:c r="R81" s="60" t="str">
        <x:v>https://ojs.aaai.org/index.php/AAAI/article/view/40824</x:v>
      </x:c>
      <x:c r="S81" s="60" t="str">
        <x:v>No</x:v>
      </x:c>
      <x:c r="T81" s="60" t="str">
        <x:v>No</x:v>
      </x:c>
      <x:c r="U81" s="60" t="str">
        <x:v>No</x:v>
      </x:c>
    </x:row>
    <x:row r="82">
      <x:c r="A82" s="60" t="n">
        <x:v>81</x:v>
      </x:c>
      <x:c r="B82" s="60" t="str">
        <x:v>cross_category</x:v>
      </x:c>
      <x:c r="C82" s="60" t="str">
        <x:v>shi2026saiguard</x:v>
      </x:c>
      <x:c r="D82" s="60" t="str">
        <x:v>SAIGuard: Communication-State Simulation for Proactive Defense of LLM Multi-Agent Systems</x:v>
      </x:c>
      <x:c r="E82" s="60" t="str">
        <x:v>arXiv preprint</x:v>
      </x:c>
      <x:c r="F82" s="60" t="str">
        <x:v>arXiv v1; no archival publication verified</x:v>
      </x:c>
      <x:c r="G82" s="60" t="str">
        <x:v>verified_preprint</x:v>
      </x:c>
      <x:c r="H82" s="60" t="str">
        <x:v>core_security</x:v>
      </x:c>
      <x:c r="I82" s="60" t="str">
        <x:v>core_security</x:v>
      </x:c>
      <x:c r="J82" s="60" t="str">
        <x:v>defense</x:v>
      </x:c>
      <x:c r="K82" s="60" t="str">
        <x:v>defense</x:v>
      </x:c>
      <x:c r="L82" s="60" t="str">
        <x:v>yes: message effects are simulated over a graph before delivery</x:v>
      </x:c>
      <x:c r="M82" s="60" t="str">
        <x:v>confirmed_attack_bearing_preprint</x:v>
      </x:c>
      <x:c r="N82" s="60" t="str">
        <x:v>collective decision-integrity and propagation-containment failure</x:v>
      </x:c>
      <x:c r="O82" s="60" t="str">
        <x:v>ready_after_minor_patch</x:v>
      </x:c>
      <x:c r="P82" s="60" t="str">
        <x:v>assistant_source_reviewed_pending_author_signoff</x:v>
      </x:c>
      <x:c r="Q82" s="60" t="str">
        <x:v>yes: strong observer-scope and proactive-prevention case</x:v>
      </x:c>
      <x:c r="R82" s="60" t="str">
        <x:v>https://arxiv.org/abs/2606.12474</x:v>
      </x:c>
      <x:c r="S82" s="60" t="str">
        <x:v>No</x:v>
      </x:c>
      <x:c r="T82" s="60" t="str">
        <x:v>No</x:v>
      </x:c>
      <x:c r="U82" s="60" t="str">
        <x:v>Yes</x:v>
      </x:c>
    </x:row>
    <x:row r="83">
      <x:c r="A83" s="60" t="n">
        <x:v>82</x:v>
      </x:c>
      <x:c r="B83" s="60" t="str">
        <x:v>cross_category</x:v>
      </x:c>
      <x:c r="C83" s="60" t="str">
        <x:v>feng2026sentinelnet</x:v>
      </x:c>
      <x:c r="D83" s="60" t="str">
        <x:v>SentinelNet: Safeguarding Multi-Agent Collaboration Through Credit-Based Dynamic Threat Detection</x:v>
      </x:c>
      <x:c r="E83" s="60" t="str">
        <x:v>The ACM Web Conference 2026, pp.3135-3146</x:v>
      </x:c>
      <x:c r="F83" s="60" t="str">
        <x:v>Published WWW 2026 archival version; arXiv 2510.16219 is author preprint</x:v>
      </x:c>
      <x:c r="G83" s="60" t="str">
        <x:v>verified_published</x:v>
      </x:c>
      <x:c r="H83" s="60" t="str">
        <x:v>core_security</x:v>
      </x:c>
      <x:c r="I83" s="60" t="str">
        <x:v>core_security</x:v>
      </x:c>
      <x:c r="J83" s="60" t="str">
        <x:v>defense</x:v>
      </x:c>
      <x:c r="K83" s="60" t="str">
        <x:v>defense</x:v>
      </x:c>
      <x:c r="L83" s="60" t="str">
        <x:v>yes: each agent scores neighbor messages and changes local topology</x:v>
      </x:c>
      <x:c r="M83" s="60" t="str">
        <x:v>confirmed_attack_bearing</x:v>
      </x:c>
      <x:c r="N83" s="60" t="str">
        <x:v>collective decision-integrity failure</x:v>
      </x:c>
      <x:c r="O83" s="60" t="str">
        <x:v>ready_after_minor_patch</x:v>
      </x:c>
      <x:c r="P83" s="60" t="str">
        <x:v>assistant_source_reviewed_pending_author_signoff</x:v>
      </x:c>
      <x:c r="Q83" s="60" t="str">
        <x:v>yes: decentralized local-observer counterexample to global-monitor dominance</x:v>
      </x:c>
      <x:c r="R83" s="60" t="str">
        <x:v>https://doi.org/10.1145/3774904.3792462</x:v>
      </x:c>
      <x:c r="S83" s="60" t="str">
        <x:v>No</x:v>
      </x:c>
      <x:c r="T83" s="60" t="str">
        <x:v>No</x:v>
      </x:c>
      <x:c r="U83" s="60" t="str">
        <x:v>Yes</x:v>
      </x:c>
    </x:row>
    <x:row r="84">
      <x:c r="A84" s="60" t="n">
        <x:v>83</x:v>
      </x:c>
      <x:c r="B84" s="60" t="str">
        <x:v>cross_category</x:v>
      </x:c>
      <x:c r="C84" s="60" t="str">
        <x:v>huang2026toposhield</x:v>
      </x:c>
      <x:c r="D84" s="60" t="str">
        <x:v>TopoSHIELD: Reshaping the Flow of Malice via Spatio-Temporal Risk-Aware Topological Evolution in Multi-Agent Systems</x:v>
      </x:c>
      <x:c r="E84" s="60" t="str">
        <x:v>Findings of ACL 2026, pp.8740-8768</x:v>
      </x:c>
      <x:c r="F84" s="60" t="str">
        <x:v>Published Findings of ACL 2026 archival version</x:v>
      </x:c>
      <x:c r="G84" s="60" t="str">
        <x:v>verified_published</x:v>
      </x:c>
      <x:c r="H84" s="60" t="str">
        <x:v>core_security</x:v>
      </x:c>
      <x:c r="I84" s="60" t="str">
        <x:v>core_security</x:v>
      </x:c>
      <x:c r="J84" s="60" t="str">
        <x:v>defense</x:v>
      </x:c>
      <x:c r="K84" s="60" t="str">
        <x:v>defense</x:v>
      </x:c>
      <x:c r="L84" s="60" t="str">
        <x:v>yes: defense estimates temporal graph risk and edits inter-agent edges/communities</x:v>
      </x:c>
      <x:c r="M84" s="60" t="str">
        <x:v>confirmed_attack_bearing</x:v>
      </x:c>
      <x:c r="N84" s="60" t="str">
        <x:v>propagation containment and collective decision-integrity failure</x:v>
      </x:c>
      <x:c r="O84" s="60" t="str">
        <x:v>ready_after_minor_patch</x:v>
      </x:c>
      <x:c r="P84" s="60" t="str">
        <x:v>assistant_source_reviewed_pending_author_signoff</x:v>
      </x:c>
      <x:c r="Q84" s="60" t="str">
        <x:v>yes: central evidence for topology defense and containment</x:v>
      </x:c>
      <x:c r="R84" s="60" t="str">
        <x:v>https://aclanthology.org/2026.findings-acl.426/</x:v>
      </x:c>
      <x:c r="S84" s="60" t="str">
        <x:v>No</x:v>
      </x:c>
      <x:c r="T84" s="60" t="str">
        <x:v>No</x:v>
      </x:c>
      <x:c r="U84" s="60" t="str">
        <x:v>No</x:v>
      </x:c>
    </x:row>
    <x:row r="85">
      <x:c r="A85" s="60" t="n">
        <x:v>84</x:v>
      </x:c>
      <x:c r="B85" s="60" t="str">
        <x:v>cross_category</x:v>
      </x:c>
      <x:c r="C85" s="60" t="str">
        <x:v>juneja2025magpie</x:v>
      </x:c>
      <x:c r="D85" s="60" t="str">
        <x:v>MAGPIE: A benchmark for Multi-AGent contextual PrIvacy Evaluation</x:v>
      </x:c>
      <x:c r="E85" s="60" t="str">
        <x:v>NeurIPS 2025 Workshop on Socially Responsible and Trustworthy Foundation Models</x:v>
      </x:c>
      <x:c r="F85" s="60" t="str">
        <x:v>Canonical 200-task workshop/arXiv 2510.15186 version; supersedes earlier 158-scenario arXiv 2506.20737 with four authors and different title wording.</x:v>
      </x:c>
      <x:c r="G85" s="60" t="str">
        <x:v>verified_workshop_version_with_version_merge</x:v>
      </x:c>
      <x:c r="H85" s="60" t="str">
        <x:v>core_security</x:v>
      </x:c>
      <x:c r="I85" s="60" t="str">
        <x:v>core_security</x:v>
      </x:c>
      <x:c r="J85" s="60" t="str">
        <x:v>evaluation</x:v>
      </x:c>
      <x:c r="K85" s="60" t="str">
        <x:v>benchmark</x:v>
      </x:c>
      <x:c r="L85" s="60" t="str">
        <x:v>yes: role-specialized agents exchange information under contextual authorization constraints</x:v>
      </x:c>
      <x:c r="M85" s="60" t="str">
        <x:v>nonadversarial_failure_evidence</x:v>
      </x:c>
      <x:c r="N85" s="60" t="str">
        <x:v>cross-principal confidentiality and contextual-integrity failure</x:v>
      </x:c>
      <x:c r="O85" s="60" t="str">
        <x:v>ready_after_major_patch</x:v>
      </x:c>
      <x:c r="P85" s="60" t="str">
        <x:v>assistant_source_reviewed_pending_author_signoff</x:v>
      </x:c>
      <x:c r="Q85" s="60" t="str">
        <x:v>yes: directly supports metric-denominator and contextual-authorization synthesis</x:v>
      </x:c>
      <x:c r="R85" s="60" t="str">
        <x:v>https://nips.cc/virtual/2025/workshop/127834</x:v>
      </x:c>
      <x:c r="S85" s="60" t="str">
        <x:v>Yes</x:v>
      </x:c>
      <x:c r="T85" s="60" t="str">
        <x:v>No</x:v>
      </x:c>
      <x:c r="U85" s="60" t="str">
        <x:v>No</x:v>
      </x:c>
    </x:row>
    <x:row r="86">
      <x:c r="A86" s="60" t="n">
        <x:v>85</x:v>
      </x:c>
      <x:c r="B86" s="60" t="str">
        <x:v>cross_category</x:v>
      </x:c>
      <x:c r="C86" s="60" t="str">
        <x:v>chen2025medsentry</x:v>
      </x:c>
      <x:c r="D86" s="60" t="str">
        <x:v>MedSentry: Understanding and Mitigating Safety Risks in Medical LLM Multi-Agent Systems</x:v>
      </x:c>
      <x:c r="E86" s="60" t="str">
        <x:v>arXiv preprint</x:v>
      </x:c>
      <x:c r="F86" s="60" t="str">
        <x:v>arXiv v1; ICLR 2026 submission was not verified as accepted</x:v>
      </x:c>
      <x:c r="G86" s="60" t="str">
        <x:v>verified_preprint_not_accepted</x:v>
      </x:c>
      <x:c r="H86" s="60" t="str">
        <x:v>core_security</x:v>
      </x:c>
      <x:c r="I86" s="60" t="str">
        <x:v>core_security</x:v>
      </x:c>
      <x:c r="J86" s="60" t="str">
        <x:v>evaluation</x:v>
      </x:c>
      <x:c r="K86" s="60" t="str">
        <x:v>benchmark</x:v>
      </x:c>
      <x:c r="L86" s="60" t="str">
        <x:v>yes: one malicious insider influences a fixed five-agent medical team across four topologies</x:v>
      </x:c>
      <x:c r="M86" s="60" t="str">
        <x:v>confirmed_attack_bearing_preprint</x:v>
      </x:c>
      <x:c r="N86" s="60" t="str">
        <x:v>collective medical decision-integrity and safety failure</x:v>
      </x:c>
      <x:c r="O86" s="60" t="str">
        <x:v>ready_after_minor_patch</x:v>
      </x:c>
      <x:c r="P86" s="60" t="str">
        <x:v>assistant_source_reviewed_pending_author_signoff</x:v>
      </x:c>
      <x:c r="Q86" s="60" t="str">
        <x:v>yes: architecture/topology coverage and safety-security boundary</x:v>
      </x:c>
      <x:c r="R86" s="60" t="str">
        <x:v>https://arxiv.org/abs/2505.20824</x:v>
      </x:c>
      <x:c r="S86" s="60" t="str">
        <x:v>Yes</x:v>
      </x:c>
      <x:c r="T86" s="60" t="str">
        <x:v>No</x:v>
      </x:c>
      <x:c r="U86" s="60" t="str">
        <x:v>Yes</x:v>
      </x:c>
    </x:row>
    <x:row r="87">
      <x:c r="A87" s="60" t="n">
        <x:v>86</x:v>
      </x:c>
      <x:c r="B87" s="60" t="str">
        <x:v>cross_category</x:v>
      </x:c>
      <x:c r="C87" s="60" t="str">
        <x:v>an2026aciarena</x:v>
      </x:c>
      <x:c r="D87" s="60" t="str">
        <x:v>ACIARena: Toward Unified Evaluation for Agent Cascading Injection</x:v>
      </x:c>
      <x:c r="E87" s="60" t="str">
        <x:v>ACL 2026</x:v>
      </x:c>
      <x:c r="F87" s="60" t="str">
        <x:v>Published ACL 2026 archival version</x:v>
      </x:c>
      <x:c r="G87" s="60" t="str">
        <x:v>verified_published</x:v>
      </x:c>
      <x:c r="H87" s="60" t="str">
        <x:v>core_security</x:v>
      </x:c>
      <x:c r="I87" s="60" t="str">
        <x:v>core_security</x:v>
      </x:c>
      <x:c r="J87" s="60" t="str">
        <x:v>evaluation</x:v>
      </x:c>
      <x:c r="K87" s="60" t="str">
        <x:v>benchmark</x:v>
      </x:c>
      <x:c r="L87" s="60" t="str">
        <x:v>yes: compromised content or agents transmit injected instructions over trusted inter-agent edges</x:v>
      </x:c>
      <x:c r="M87" s="60" t="str">
        <x:v>confirmed_attack_bearing</x:v>
      </x:c>
      <x:c r="N87" s="60" t="str">
        <x:v>instruction integrity, availability, or confidentiality failure, claim-specific</x:v>
      </x:c>
      <x:c r="O87" s="60" t="str">
        <x:v>ready_after_minor_patch</x:v>
      </x:c>
      <x:c r="P87" s="60" t="str">
        <x:v>assistant_source_reviewed_pending_author_signoff</x:v>
      </x:c>
      <x:c r="Q87" s="60" t="str">
        <x:v>yes: central benchmark/evaluation-contract evidence</x:v>
      </x:c>
      <x:c r="R87" s="60" t="str">
        <x:v>https://aclanthology.org/2026.acl-long.457/</x:v>
      </x:c>
      <x:c r="S87" s="60" t="str">
        <x:v>Yes</x:v>
      </x:c>
      <x:c r="T87" s="60" t="str">
        <x:v>No</x:v>
      </x:c>
      <x:c r="U87" s="60" t="str">
        <x:v>No</x:v>
      </x:c>
    </x:row>
    <x:row r="88">
      <x:c r="A88" s="60" t="n">
        <x:v>87</x:v>
      </x:c>
      <x:c r="B88" s="60" t="str">
        <x:v>cross_category</x:v>
      </x:c>
      <x:c r="C88" s="60" t="str">
        <x:v>elyagoubi2026agentleak</x:v>
      </x:c>
      <x:c r="D88" s="60" t="str">
        <x:v>AgentLeak: A Benchmark for Internal-Channel Privacy Leakage in Multi-Agent LLM Systems</x:v>
      </x:c>
      <x:c r="E88" s="60" t="str">
        <x:v>IEEE Access 2026</x:v>
      </x:c>
      <x:c r="F88" s="60" t="str">
        <x:v>Published IEEE Access version; earlier arXiv title/order variants must be merged</x:v>
      </x:c>
      <x:c r="G88" s="60" t="str">
        <x:v>verified_published</x:v>
      </x:c>
      <x:c r="H88" s="60" t="str">
        <x:v>core_security</x:v>
      </x:c>
      <x:c r="I88" s="60" t="str">
        <x:v>core_security</x:v>
      </x:c>
      <x:c r="J88" s="60" t="str">
        <x:v>evaluation</x:v>
      </x:c>
      <x:c r="K88" s="60" t="str">
        <x:v>benchmark</x:v>
      </x:c>
      <x:c r="L88" s="60" t="str">
        <x:v>yes: coordinator-worker delegation creates internal message and shared-memory channels</x:v>
      </x:c>
      <x:c r="M88" s="60" t="str">
        <x:v>confirmed_attack_bearing</x:v>
      </x:c>
      <x:c r="N88" s="60" t="str">
        <x:v>cross-channel confidentiality and data-minimization failure</x:v>
      </x:c>
      <x:c r="O88" s="60" t="str">
        <x:v>ready_after_major_patch</x:v>
      </x:c>
      <x:c r="P88" s="60" t="str">
        <x:v>assistant_source_reviewed_pending_author_signoff</x:v>
      </x:c>
      <x:c r="Q88" s="60" t="str">
        <x:v>yes: headline observability and metric-denominator evidence</x:v>
      </x:c>
      <x:c r="R88" s="60" t="str">
        <x:v>https://doi.org/10.1109/ACCESS.2026.3704541</x:v>
      </x:c>
      <x:c r="S88" s="60" t="str">
        <x:v>Yes</x:v>
      </x:c>
      <x:c r="T88" s="60" t="str">
        <x:v>No</x:v>
      </x:c>
      <x:c r="U88" s="60" t="str">
        <x:v>No</x:v>
      </x:c>
    </x:row>
    <x:row r="89">
      <x:c r="A89" s="60" t="n">
        <x:v>88</x:v>
      </x:c>
      <x:c r="B89" s="60" t="str">
        <x:v>cross_category</x:v>
      </x:c>
      <x:c r="C89" s="60" t="str">
        <x:v>nother2026badacts</x:v>
      </x:c>
      <x:c r="D89" s="60" t="str">
        <x:v>Benchmarking the Robustness of Agentic Systems to Adversarially-Induced Harmful Behaviors</x:v>
      </x:c>
      <x:c r="E89" s="60" t="str">
        <x:v>COLM 2026</x:v>
      </x:c>
      <x:c r="F89" s="60" t="str">
        <x:v>Accepted COLM 2026 version; merge earlier arXiv/title variants and use accepted counts</x:v>
      </x:c>
      <x:c r="G89" s="60" t="str">
        <x:v>verified_accepted_conference</x:v>
      </x:c>
      <x:c r="H89" s="60" t="str">
        <x:v>security_relevant</x:v>
      </x:c>
      <x:c r="I89" s="60" t="str">
        <x:v>core_security</x:v>
      </x:c>
      <x:c r="J89" s="60" t="str">
        <x:v>evaluation</x:v>
      </x:c>
      <x:c r="K89" s="60" t="str">
        <x:v>benchmark</x:v>
      </x:c>
      <x:c r="L89" s="60" t="str">
        <x:v>yes for MAS environments: one malicious member persuades peers through legitimate communication; benchmark also spans broader agentic systems</x:v>
      </x:c>
      <x:c r="M89" s="60" t="str">
        <x:v>confirmed_attack_bearing</x:v>
      </x:c>
      <x:c r="N89" s="60" t="str">
        <x:v>compositional action-integrity/authorization failure</x:v>
      </x:c>
      <x:c r="O89" s="60" t="str">
        <x:v>ready_after_major_patch</x:v>
      </x:c>
      <x:c r="P89" s="60" t="str">
        <x:v>assistant_source_reviewed_pending_author_signoff</x:v>
      </x:c>
      <x:c r="Q89" s="60" t="str">
        <x:v>yes: action-level impact and benchmark denominator evidence</x:v>
      </x:c>
      <x:c r="R89" s="60" t="str">
        <x:v>https://colmweb.org/AcceptedPapers.html</x:v>
      </x:c>
      <x:c r="S89" s="60" t="str">
        <x:v>Yes</x:v>
      </x:c>
      <x:c r="T89" s="60" t="str">
        <x:v>Yes</x:v>
      </x:c>
      <x:c r="U89" s="60" t="str">
        <x:v>No</x:v>
      </x:c>
    </x:row>
    <x:row r="90">
      <x:c r="A90" s="60" t="n">
        <x:v>89</x:v>
      </x:c>
      <x:c r="B90" s="60" t="str">
        <x:v>cross_category</x:v>
      </x:c>
      <x:c r="C90" s="60" t="str">
        <x:v>zhao2026macbench</x:v>
      </x:c>
      <x:c r="D90" s="60" t="str">
        <x:v>Beyond Goodhart's Law: A Dynamic Benchmark for Evaluating Compliance in Multi-Agent Systems</x:v>
      </x:c>
      <x:c r="E90" s="60" t="str">
        <x:v>arXiv preprint</x:v>
      </x:c>
      <x:c r="F90" s="60" t="str">
        <x:v>arXiv v1; no archival publication verified</x:v>
      </x:c>
      <x:c r="G90" s="60" t="str">
        <x:v>verified_preprint</x:v>
      </x:c>
      <x:c r="H90" s="60" t="str">
        <x:v>security_relevant</x:v>
      </x:c>
      <x:c r="I90" s="60" t="str">
        <x:v>security_relevant</x:v>
      </x:c>
      <x:c r="J90" s="60" t="str">
        <x:v>evaluation</x:v>
      </x:c>
      <x:c r="K90" s="60" t="str">
        <x:v>benchmark</x:v>
      </x:c>
      <x:c r="L90" s="60" t="str">
        <x:v>partly: main evaluation includes AutoGen and other MAS architectures, but the benchmark also compares single-agent ReAct and broader agentic systems</x:v>
      </x:c>
      <x:c r="M90" s="60" t="str">
        <x:v>adversarial_pressure_evidence</x:v>
      </x:c>
      <x:c r="N90" s="60" t="str">
        <x:v>procedural compliance, authorization, privacy, and auditability failure</x:v>
      </x:c>
      <x:c r="O90" s="60" t="str">
        <x:v>ready_after_major_patch</x:v>
      </x:c>
      <x:c r="P90" s="60" t="str">
        <x:v>assistant_source_reviewed_pending_author_signoff</x:v>
      </x:c>
      <x:c r="Q90" s="60" t="str">
        <x:v>yes: global-trace and task-success-versus-process-integrity finding</x:v>
      </x:c>
      <x:c r="R90" s="60" t="str">
        <x:v>https://arxiv.org/abs/2606.07805</x:v>
      </x:c>
      <x:c r="S90" s="60" t="str">
        <x:v>Yes</x:v>
      </x:c>
      <x:c r="T90" s="60" t="str">
        <x:v>No</x:v>
      </x:c>
      <x:c r="U90" s="60" t="str">
        <x:v>Yes</x:v>
      </x:c>
    </x:row>
    <x:row r="91">
      <x:c r="A91" s="60" t="n">
        <x:v>90</x:v>
      </x:c>
      <x:c r="B91" s="60" t="str">
        <x:v>cross_category</x:v>
      </x:c>
      <x:c r="C91" s="60" t="str">
        <x:v>zou2026calbench</x:v>
      </x:c>
      <x:c r="D91" s="60" t="str">
        <x:v>CalBench: Evaluating Coordination-Privacy Trade-offs in Multi-Agent LLMs</x:v>
      </x:c>
      <x:c r="E91" s="60" t="str">
        <x:v>arXiv preprint</x:v>
      </x:c>
      <x:c r="F91" s="60" t="str">
        <x:v>arXiv current full text; metadata header lists four authors while PDF title block lists five including Noah D. Goodman—canonical author list requires author signoff</x:v>
      </x:c>
      <x:c r="G91" s="60" t="str">
        <x:v>metadata_conflict_requires_signoff</x:v>
      </x:c>
      <x:c r="H91" s="60" t="str">
        <x:v>core_security</x:v>
      </x:c>
      <x:c r="I91" s="60" t="str">
        <x:v>security_relevant</x:v>
      </x:c>
      <x:c r="J91" s="60" t="str">
        <x:v>evaluation</x:v>
      </x:c>
      <x:c r="K91" s="60" t="str">
        <x:v>benchmark</x:v>
      </x:c>
      <x:c r="L91" s="60" t="str">
        <x:v>yes: five agents hold private calendars and must reach consistent distributed commitments without global access</x:v>
      </x:c>
      <x:c r="M91" s="60" t="str">
        <x:v>nonadversarial_privacy_evidence</x:v>
      </x:c>
      <x:c r="N91" s="60" t="str">
        <x:v>coordination-quality, fairness, and cross-principal privacy failure</x:v>
      </x:c>
      <x:c r="O91" s="60" t="str">
        <x:v>blocked_metadata_signoff</x:v>
      </x:c>
      <x:c r="P91" s="60" t="str">
        <x:v>blocked_metadata_signoff</x:v>
      </x:c>
      <x:c r="Q91" s="60" t="str">
        <x:v>yes: unusually strong metric/denominator and matched-information-contract example</x:v>
      </x:c>
      <x:c r="R91" s="60" t="str">
        <x:v>https://arxiv.org/abs/2605.09823</x:v>
      </x:c>
      <x:c r="S91" s="60" t="str">
        <x:v>Yes</x:v>
      </x:c>
      <x:c r="T91" s="60" t="str">
        <x:v>Yes</x:v>
      </x:c>
      <x:c r="U91" s="60" t="str">
        <x:v>Yes</x:v>
      </x:c>
    </x:row>
    <x:row r="92">
      <x:c r="A92" s="60" t="n">
        <x:v>91</x:v>
      </x:c>
      <x:c r="B92" s="60" t="str">
        <x:v>cross_category</x:v>
      </x:c>
      <x:c r="C92" s="60" t="str">
        <x:v>nakamura2026colosseum</x:v>
      </x:c>
      <x:c r="D92" s="60" t="str">
        <x:v>Colosseum: Auditing Collusion in Cooperative Multi-Agent Systems</x:v>
      </x:c>
      <x:c r="E92" s="60" t="str">
        <x:v>arXiv preprint, under review</x:v>
      </x:c>
      <x:c r="F92" s="60" t="str">
        <x:v>arXiv v2; author page identifies it as under review</x:v>
      </x:c>
      <x:c r="G92" s="60" t="str">
        <x:v>verified_preprint</x:v>
      </x:c>
      <x:c r="H92" s="60" t="str">
        <x:v>core_security</x:v>
      </x:c>
      <x:c r="I92" s="60" t="str">
        <x:v>core_security</x:v>
      </x:c>
      <x:c r="J92" s="60" t="str">
        <x:v>evaluation</x:v>
      </x:c>
      <x:c r="K92" s="60" t="str">
        <x:v>benchmark</x:v>
      </x:c>
      <x:c r="L92" s="60" t="str">
        <x:v>yes: coalition collusion and regret relative to a cooperative optimum require multiple agents</x:v>
      </x:c>
      <x:c r="M92" s="60" t="str">
        <x:v>confirmed_attack_bearing_preprint</x:v>
      </x:c>
      <x:c r="N92" s="60" t="str">
        <x:v>collective objective and oversight integrity failure</x:v>
      </x:c>
      <x:c r="O92" s="60" t="str">
        <x:v>ready_after_minor_patch</x:v>
      </x:c>
      <x:c r="P92" s="60" t="str">
        <x:v>assistant_source_reviewed_pending_author_signoff</x:v>
      </x:c>
      <x:c r="Q92" s="60" t="str">
        <x:v>yes: collusion metric and observer-scope headline evidence</x:v>
      </x:c>
      <x:c r="R92" s="60" t="str">
        <x:v>https://arxiv.org/abs/2602.15198</x:v>
      </x:c>
      <x:c r="S92" s="60" t="str">
        <x:v>Yes</x:v>
      </x:c>
      <x:c r="T92" s="60" t="str">
        <x:v>No</x:v>
      </x:c>
      <x:c r="U92" s="60" t="str">
        <x:v>Yes</x:v>
      </x:c>
    </x:row>
    <x:row r="93">
      <x:c r="A93" s="60" t="n">
        <x:v>92</x:v>
      </x:c>
      <x:c r="B93" s="60" t="str">
        <x:v>cross_category</x:v>
      </x:c>
      <x:c r="C93" s="60" t="str">
        <x:v>milkowski2026amongus</x:v>
      </x:c>
      <x:c r="D93" s="60" t="str">
        <x:v>Deception and Communication in Autonomous Multi-Agent Systems: An Experimental Study with Among Us</x:v>
      </x:c>
      <x:c r="E93" s="60" t="str">
        <x:v>AAMAS 2026, 9 pages</x:v>
      </x:c>
      <x:c r="F93" s="60" t="str">
        <x:v>Published AAMAS 2026 archival version; arXiv 2603.26635 is full text</x:v>
      </x:c>
      <x:c r="G93" s="60" t="str">
        <x:v>verified_published</x:v>
      </x:c>
      <x:c r="H93" s="60" t="str">
        <x:v>security_relevant</x:v>
      </x:c>
      <x:c r="I93" s="60" t="str">
        <x:v>security_relevant</x:v>
      </x:c>
      <x:c r="J93" s="60" t="str">
        <x:v>evaluation</x:v>
      </x:c>
      <x:c r="K93" s="60" t="str">
        <x:v>evaluation</x:v>
      </x:c>
      <x:c r="L93" s="60" t="str">
        <x:v>yes: hidden-role deception, discussion, accusation, voting, and outcomes depend on interacting agents</x:v>
      </x:c>
      <x:c r="M93" s="60" t="str">
        <x:v>assigned_adversarial_role_evidence</x:v>
      </x:c>
      <x:c r="N93" s="60" t="str">
        <x:v>collective identification and decision-integrity failure</x:v>
      </x:c>
      <x:c r="O93" s="60" t="str">
        <x:v>ready_after_minor_patch</x:v>
      </x:c>
      <x:c r="P93" s="60" t="str">
        <x:v>assistant_source_reviewed_pending_author_signoff</x:v>
      </x:c>
      <x:c r="Q93" s="60" t="str">
        <x:v>no</x:v>
      </x:c>
      <x:c r="R93" s="60" t="str">
        <x:v>https://doi.org/10.65109/FRXL8789</x:v>
      </x:c>
      <x:c r="S93" s="60" t="str">
        <x:v>No</x:v>
      </x:c>
      <x:c r="T93" s="60" t="str">
        <x:v>No</x:v>
      </x:c>
      <x:c r="U93" s="60" t="str">
        <x:v>No</x:v>
      </x:c>
    </x:row>
    <x:row r="94">
      <x:c r="A94" s="60" t="n">
        <x:v>93</x:v>
      </x:c>
      <x:c r="B94" s="60" t="str">
        <x:v>cross_category</x:v>
      </x:c>
      <x:c r="C94" s="60" t="str">
        <x:v>arora2026safeagents</x:v>
      </x:c>
      <x:c r="D94" s="60" t="str">
        <x:v>Exposing Weak Links in Multi-Agent Systems under Adversarial Prompting</x:v>
      </x:c>
      <x:c r="E94" s="60" t="str">
        <x:v>AAMAS 2026 Strategic Engineering Workshop</x:v>
      </x:c>
      <x:c r="F94" s="60" t="str">
        <x:v>Accepted workshop version; arXiv 2511.10949 full text</x:v>
      </x:c>
      <x:c r="G94" s="60" t="str">
        <x:v>verified_workshop</x:v>
      </x:c>
      <x:c r="H94" s="60" t="str">
        <x:v>security_relevant</x:v>
      </x:c>
      <x:c r="I94" s="60" t="str">
        <x:v>core_security</x:v>
      </x:c>
      <x:c r="J94" s="60" t="str">
        <x:v>evaluation</x:v>
      </x:c>
      <x:c r="K94" s="60" t="str">
        <x:v>benchmark</x:v>
      </x:c>
      <x:c r="L94" s="60" t="str">
        <x:v>yes: planner, delegation, context-sharing, subagent, and fallback stages distribute safety decisions</x:v>
      </x:c>
      <x:c r="M94" s="60" t="str">
        <x:v>confirmed_attack_bearing_workshop</x:v>
      </x:c>
      <x:c r="N94" s="60" t="str">
        <x:v>compositional action-integrity and safety-enforcement failure</x:v>
      </x:c>
      <x:c r="O94" s="60" t="str">
        <x:v>ready_after_minor_patch</x:v>
      </x:c>
      <x:c r="P94" s="60" t="str">
        <x:v>assistant_source_reviewed_pending_author_signoff</x:v>
      </x:c>
      <x:c r="Q94" s="60" t="str">
        <x:v>yes: architecture/observer-stage synthesis</x:v>
      </x:c>
      <x:c r="R94" s="60" t="str">
        <x:v>https://openreview.net/forum?id=XC5vOg5UTf</x:v>
      </x:c>
      <x:c r="S94" s="60" t="str">
        <x:v>Yes</x:v>
      </x:c>
      <x:c r="T94" s="60" t="str">
        <x:v>Yes</x:v>
      </x:c>
      <x:c r="U94" s="60" t="str">
        <x:v>No</x:v>
      </x:c>
    </x:row>
    <x:row r="95">
      <x:c r="A95" s="60" t="n">
        <x:v>94</x:v>
      </x:c>
      <x:c r="B95" s="60" t="str">
        <x:v>cross_category</x:v>
      </x:c>
      <x:c r="C95" s="60" t="str">
        <x:v>lemercier2026gambit</x:v>
      </x:c>
      <x:c r="D95" s="60" t="str">
        <x:v>GAMBIT: A Three-Mode Benchmark for Adversarial Robustness in Multi-Agent LLM Collectives</x:v>
      </x:c>
      <x:c r="E95" s="60" t="str">
        <x:v>arXiv preprint</x:v>
      </x:c>
      <x:c r="F95" s="60" t="str">
        <x:v>arXiv v2/current preprint; no archival venue verified</x:v>
      </x:c>
      <x:c r="G95" s="60" t="str">
        <x:v>verified_preprint</x:v>
      </x:c>
      <x:c r="H95" s="60" t="str">
        <x:v>security_relevant</x:v>
      </x:c>
      <x:c r="I95" s="60" t="str">
        <x:v>core_security</x:v>
      </x:c>
      <x:c r="J95" s="60" t="str">
        <x:v>evaluation</x:v>
      </x:c>
      <x:c r="K95" s="60" t="str">
        <x:v>benchmark</x:v>
      </x:c>
      <x:c r="L95" s="60" t="str">
        <x:v>yes: a deceptive imposter participates in an LLM collective and adapts its inter-agent deliberation strategy against detectors</x:v>
      </x:c>
      <x:c r="M95" s="60" t="str">
        <x:v>confirmed_attack_bearing_preprint</x:v>
      </x:c>
      <x:c r="N95" s="60" t="str">
        <x:v>collective decision integrity and malicious-member detectability failure</x:v>
      </x:c>
      <x:c r="O95" s="60" t="str">
        <x:v>ready_after_major_patch</x:v>
      </x:c>
      <x:c r="P95" s="60" t="str">
        <x:v>assistant_source_reviewed_pending_author_signoff</x:v>
      </x:c>
      <x:c r="Q95" s="60" t="str">
        <x:v>yes: strongest evidence for adaptive adversary and recalibration assumptions</x:v>
      </x:c>
      <x:c r="R95" s="60" t="str">
        <x:v>https://arxiv.org/abs/2605.09027</x:v>
      </x:c>
      <x:c r="S95" s="60" t="str">
        <x:v>Yes</x:v>
      </x:c>
      <x:c r="T95" s="60" t="str">
        <x:v>Yes</x:v>
      </x:c>
      <x:c r="U95" s="60" t="str">
        <x:v>Yes</x:v>
      </x:c>
    </x:row>
    <x:row r="96">
      <x:c r="A96" s="60" t="n">
        <x:v>95</x:v>
      </x:c>
      <x:c r="B96" s="60" t="str">
        <x:v>cross_category</x:v>
      </x:c>
      <x:c r="C96" s="60" t="str">
        <x:v>mateotorrejon2026gammaf</x:v>
      </x:c>
      <x:c r="D96" s="60" t="str">
        <x:v>GAMMAF: A Common Framework for Graph-Based Anomaly Monitoring Benchmarking in LLM Multi-Agent Systems</x:v>
      </x:c>
      <x:c r="E96" s="60" t="str">
        <x:v>arXiv preprint</x:v>
      </x:c>
      <x:c r="F96" s="60" t="str">
        <x:v>arXiv v1; no archival venue verified</x:v>
      </x:c>
      <x:c r="G96" s="60" t="str">
        <x:v>verified_preprint</x:v>
      </x:c>
      <x:c r="H96" s="60" t="str">
        <x:v>core_security</x:v>
      </x:c>
      <x:c r="I96" s="60" t="str">
        <x:v>core_security</x:v>
      </x:c>
      <x:c r="J96" s="60" t="str">
        <x:v>evaluation</x:v>
      </x:c>
      <x:c r="K96" s="60" t="str">
        <x:v>benchmark</x:v>
      </x:c>
      <x:c r="L96" s="60" t="str">
        <x:v>yes: attributed communication graphs, live debate rounds, graph anomaly detectors, and node isolation are inherently multi-agent</x:v>
      </x:c>
      <x:c r="M96" s="60" t="str">
        <x:v>attack_bearing_benchmark_preprint</x:v>
      </x:c>
      <x:c r="N96" s="60" t="str">
        <x:v>collective answer integrity and resource-efficiency degradation</x:v>
      </x:c>
      <x:c r="O96" s="60" t="str">
        <x:v>ready_after_major_patch</x:v>
      </x:c>
      <x:c r="P96" s="60" t="str">
        <x:v>assistant_source_reviewed_pending_author_signoff</x:v>
      </x:c>
      <x:c r="Q96" s="60" t="str">
        <x:v>yes: common-contract evidence for graph-defense comparability</x:v>
      </x:c>
      <x:c r="R96" s="60" t="str">
        <x:v>https://arxiv.org/abs/2604.24477</x:v>
      </x:c>
      <x:c r="S96" s="60" t="str">
        <x:v>Yes</x:v>
      </x:c>
      <x:c r="T96" s="60" t="str">
        <x:v>No</x:v>
      </x:c>
      <x:c r="U96" s="60" t="str">
        <x:v>Yes</x:v>
      </x:c>
    </x:row>
    <x:row r="97">
      <x:c r="A97" s="60" t="n">
        <x:v>96</x:v>
      </x:c>
      <x:c r="B97" s="60" t="str">
        <x:v>cross_category</x:v>
      </x:c>
      <x:c r="C97" s="60" t="str">
        <x:v>rahman2026harp</x:v>
      </x:c>
      <x:c r="D97" s="60" t="str">
        <x:v>HARP: Measuring Harm Amplification in Multi-Agent LLM Systems</x:v>
      </x:c>
      <x:c r="E97" s="60" t="str">
        <x:v>arXiv preprint</x:v>
      </x:c>
      <x:c r="F97" s="60" t="str">
        <x:v>arXiv v1; no archival venue verified</x:v>
      </x:c>
      <x:c r="G97" s="60" t="str">
        <x:v>verified_preprint</x:v>
      </x:c>
      <x:c r="H97" s="60" t="str">
        <x:v>core_security</x:v>
      </x:c>
      <x:c r="I97" s="60" t="str">
        <x:v>core_security</x:v>
      </x:c>
      <x:c r="J97" s="60" t="str">
        <x:v>evaluation</x:v>
      </x:c>
      <x:c r="K97" s="60" t="str">
        <x:v>benchmark</x:v>
      </x:c>
      <x:c r="L97" s="60" t="str">
        <x:v>yes: paired traces quantify how a bounded local perturbation is reused across agents, tools, shared context, memory, and a decision gate</x:v>
      </x:c>
      <x:c r="M97" s="60" t="str">
        <x:v>confirmed_attack_bearing_preprint</x:v>
      </x:c>
      <x:c r="N97" s="60" t="str">
        <x:v>propagation and compromise-containment failure with downstream action/decision integrity impact</x:v>
      </x:c>
      <x:c r="O97" s="60" t="str">
        <x:v>ready_after_major_patch</x:v>
      </x:c>
      <x:c r="P97" s="60" t="str">
        <x:v>assistant_source_reviewed_pending_author_signoff</x:v>
      </x:c>
      <x:c r="Q97" s="60" t="str">
        <x:v>yes: headline metric-contract and local-to-global amplification evidence</x:v>
      </x:c>
      <x:c r="R97" s="60" t="str">
        <x:v>https://arxiv.org/abs/2605.27489</x:v>
      </x:c>
      <x:c r="S97" s="60" t="str">
        <x:v>Yes</x:v>
      </x:c>
      <x:c r="T97" s="60" t="str">
        <x:v>No</x:v>
      </x:c>
      <x:c r="U97" s="60" t="str">
        <x:v>Yes</x:v>
      </x:c>
    </x:row>
    <x:row r="98">
      <x:c r="A98" s="60" t="n">
        <x:v>97</x:v>
      </x:c>
      <x:c r="B98" s="60" t="str">
        <x:v>cross_category</x:v>
      </x:c>
      <x:c r="C98" s="60" t="str">
        <x:v>olson2026liecraft</x:v>
      </x:c>
      <x:c r="D98" s="60" t="str">
        <x:v>LieCraft: A Multi-Agent Framework for Evaluating Deceptive Capabilities in Language Models</x:v>
      </x:c>
      <x:c r="E98" s="60" t="str">
        <x:v>AAAI 2026</x:v>
      </x:c>
      <x:c r="F98" s="60" t="str">
        <x:v>Published AAAI 2026 version</x:v>
      </x:c>
      <x:c r="G98" s="60" t="str">
        <x:v>verified_published</x:v>
      </x:c>
      <x:c r="H98" s="60" t="str">
        <x:v>security_relevant</x:v>
      </x:c>
      <x:c r="I98" s="60" t="str">
        <x:v>security_relevant</x:v>
      </x:c>
      <x:c r="J98" s="60" t="str">
        <x:v>evaluation</x:v>
      </x:c>
      <x:c r="K98" s="60" t="str">
        <x:v>benchmark</x:v>
      </x:c>
      <x:c r="L98" s="60" t="str">
        <x:v>yes: private roles, communication, accusation, and collective game outcomes require interacting players</x:v>
      </x:c>
      <x:c r="M98" s="60" t="str">
        <x:v>assigned_role_adversarial_evidence</x:v>
      </x:c>
      <x:c r="N98" s="60" t="str">
        <x:v>collective decision integrity under strategic deception</x:v>
      </x:c>
      <x:c r="O98" s="60" t="str">
        <x:v>ready_after_minor_patch</x:v>
      </x:c>
      <x:c r="P98" s="60" t="str">
        <x:v>assistant_source_reviewed_pending_author_signoff</x:v>
      </x:c>
      <x:c r="Q98" s="60" t="str">
        <x:v>no: useful adjacent benchmark but not central systems-security evidence</x:v>
      </x:c>
      <x:c r="R98" s="60" t="str">
        <x:v>https://ojs.aaai.org/index.php/AAAI/article/view/41116</x:v>
      </x:c>
      <x:c r="S98" s="60" t="str">
        <x:v>Yes</x:v>
      </x:c>
      <x:c r="T98" s="60" t="str">
        <x:v>No</x:v>
      </x:c>
      <x:c r="U98" s="60" t="str">
        <x:v>No</x:v>
      </x:c>
    </x:row>
    <x:row r="99">
      <x:c r="A99" s="60" t="n">
        <x:v>98</x:v>
      </x:c>
      <x:c r="B99" s="60" t="str">
        <x:v>cross_category</x:v>
      </x:c>
      <x:c r="C99" s="60" t="str">
        <x:v>jia2026masfire</x:v>
      </x:c>
      <x:c r="D99" s="60" t="str">
        <x:v>MAS-FIRE: Fault Injection and Reliability Evaluation for LLM-Based Multi-Agent Systems</x:v>
      </x:c>
      <x:c r="E99" s="60" t="str">
        <x:v>arXiv preprint</x:v>
      </x:c>
      <x:c r="F99" s="60" t="str">
        <x:v>arXiv v1; no archival venue verified</x:v>
      </x:c>
      <x:c r="G99" s="60" t="str">
        <x:v>verified_preprint</x:v>
      </x:c>
      <x:c r="H99" s="60" t="str">
        <x:v>adjacent</x:v>
      </x:c>
      <x:c r="I99" s="60" t="str">
        <x:v>adjacent</x:v>
      </x:c>
      <x:c r="J99" s="60" t="str">
        <x:v>evaluation</x:v>
      </x:c>
      <x:c r="K99" s="60" t="str">
        <x:v>benchmark</x:v>
      </x:c>
      <x:c r="L99" s="60" t="str">
        <x:v>yes: controlled semantic faults are injected at agents or interaction points and tracked through downstream propagation, masking, and recovery</x:v>
      </x:c>
      <x:c r="M99" s="60" t="str">
        <x:v>nonadversarial_fault_evidence</x:v>
      </x:c>
      <x:c r="N99" s="60" t="str">
        <x:v>workflow reliability, propagation, and recovery failure</x:v>
      </x:c>
      <x:c r="O99" s="60" t="str">
        <x:v>ready_after_major_patch</x:v>
      </x:c>
      <x:c r="P99" s="60" t="str">
        <x:v>assistant_source_reviewed_pending_author_signoff</x:v>
      </x:c>
      <x:c r="Q99" s="60" t="str">
        <x:v>yes: boundary and recovery-measurement evidence, but mark adjacent</x:v>
      </x:c>
      <x:c r="R99" s="60" t="str">
        <x:v>https://arxiv.org/abs/2602.19843</x:v>
      </x:c>
      <x:c r="S99" s="60" t="str">
        <x:v>Yes</x:v>
      </x:c>
      <x:c r="T99" s="60" t="str">
        <x:v>No</x:v>
      </x:c>
      <x:c r="U99" s="60" t="str">
        <x:v>Yes</x:v>
      </x:c>
    </x:row>
    <x:row r="100">
      <x:c r="A100" s="60" t="n">
        <x:v>99</x:v>
      </x:c>
      <x:c r="B100" s="60" t="str">
        <x:v>cross_category</x:v>
      </x:c>
      <x:c r="C100" s="60" t="str">
        <x:v>gonzalez2026multimodalsafety</x:v>
      </x:c>
      <x:c r="D100" s="60" t="str">
        <x:v>Multimodal Safety Evaluation in Generative Agent Social Simulations</x:v>
      </x:c>
      <x:c r="E100" s="60" t="str">
        <x:v>ACL 2026</x:v>
      </x:c>
      <x:c r="F100" s="60" t="str">
        <x:v>Published ACL 2026 version</x:v>
      </x:c>
      <x:c r="G100" s="60" t="str">
        <x:v>verified_published</x:v>
      </x:c>
      <x:c r="H100" s="60" t="str">
        <x:v>adjacent</x:v>
      </x:c>
      <x:c r="I100" s="60" t="str">
        <x:v>adjacent</x:v>
      </x:c>
      <x:c r="J100" s="60" t="str">
        <x:v>evaluation</x:v>
      </x:c>
      <x:c r="K100" s="60" t="str">
        <x:v>benchmark</x:v>
      </x:c>
      <x:c r="L100" s="60" t="str">
        <x:v>yes: multiple generative agents share a social environment and unsafe multimodal context influences plans, dialogue, reflection, and actions</x:v>
      </x:c>
      <x:c r="M100" s="60" t="str">
        <x:v>nonadversarial_safety_evidence</x:v>
      </x:c>
      <x:c r="N100" s="60" t="str">
        <x:v>interaction-amplified situational safety failure</x:v>
      </x:c>
      <x:c r="O100" s="60" t="str">
        <x:v>ready_after_minor_patch</x:v>
      </x:c>
      <x:c r="P100" s="60" t="str">
        <x:v>assistant_source_reviewed_pending_author_signoff</x:v>
      </x:c>
      <x:c r="Q100" s="60" t="str">
        <x:v>no: useful safety boundary evidence, not central security claim</x:v>
      </x:c>
      <x:c r="R100" s="60" t="str">
        <x:v>https://aclanthology.org/2026.acl-long.1915/</x:v>
      </x:c>
      <x:c r="S100" s="60" t="str">
        <x:v>Yes</x:v>
      </x:c>
      <x:c r="T100" s="60" t="str">
        <x:v>No</x:v>
      </x:c>
      <x:c r="U100" s="60" t="str">
        <x:v>No</x:v>
      </x:c>
    </x:row>
    <x:row r="101">
      <x:c r="A101" s="60" t="n">
        <x:v>100</x:v>
      </x:c>
      <x:c r="B101" s="60" t="str">
        <x:v>cross_category</x:v>
      </x:c>
      <x:c r="C101" s="60" t="str">
        <x:v>dong2026pear</x:v>
      </x:c>
      <x:c r="D101" s="60" t="str">
        <x:v>PEAR: Planner-Executor Agent Robustness Benchmark</x:v>
      </x:c>
      <x:c r="E101" s="60" t="str">
        <x:v>Findings of EACL 2026</x:v>
      </x:c>
      <x:c r="F101" s="60" t="str">
        <x:v>Published Findings of EACL 2026 version; withdrawn earlier arXiv version excluded</x:v>
      </x:c>
      <x:c r="G101" s="60" t="str">
        <x:v>verified_published</x:v>
      </x:c>
      <x:c r="H101" s="60" t="str">
        <x:v>core_security</x:v>
      </x:c>
      <x:c r="I101" s="60" t="str">
        <x:v>core_security</x:v>
      </x:c>
      <x:c r="J101" s="60" t="str">
        <x:v>evaluation</x:v>
      </x:c>
      <x:c r="K101" s="60" t="str">
        <x:v>benchmark</x:v>
      </x:c>
      <x:c r="L101" s="60" t="str">
        <x:v>yes: planner and executor are separately instrumented roles whose communication, memory, and delegated authority determine attack effects</x:v>
      </x:c>
      <x:c r="M101" s="60" t="str">
        <x:v>confirmed_attack_bearing</x:v>
      </x:c>
      <x:c r="N101" s="60" t="str">
        <x:v>delegated plan and action integrity failure</x:v>
      </x:c>
      <x:c r="O101" s="60" t="str">
        <x:v>ready_after_minor_patch</x:v>
      </x:c>
      <x:c r="P101" s="60" t="str">
        <x:v>assistant_source_reviewed_pending_author_signoff</x:v>
      </x:c>
      <x:c r="Q101" s="60" t="str">
        <x:v>yes: clean architecture/attack-position evidence</x:v>
      </x:c>
      <x:c r="R101" s="60" t="str">
        <x:v>https://aclanthology.org/2026.findings-eacl.237/</x:v>
      </x:c>
      <x:c r="S101" s="60" t="str">
        <x:v>Yes</x:v>
      </x:c>
      <x:c r="T101" s="60" t="str">
        <x:v>No</x:v>
      </x:c>
      <x:c r="U101" s="60" t="str">
        <x:v>Yes</x:v>
      </x:c>
    </x:row>
    <x:row r="102">
      <x:c r="A102" s="60" t="n">
        <x:v>101</x:v>
      </x:c>
      <x:c r="B102" s="60" t="str">
        <x:v>cross_category</x:v>
      </x:c>
      <x:c r="C102" s="60" t="str">
        <x:v>jiang2026risklab</x:v>
      </x:c>
      <x:c r="D102" s="60" t="str">
        <x:v>RiskLab: A Controlled Toolkit for Probing Emergent Risks in LLM-Based Multi-Agent Systems</x:v>
      </x:c>
      <x:c r="E102" s="60" t="str">
        <x:v>ACL 2026 System Demonstrations</x:v>
      </x:c>
      <x:c r="F102" s="60" t="str">
        <x:v>Published ACL 2026 system demonstration</x:v>
      </x:c>
      <x:c r="G102" s="60" t="str">
        <x:v>verified_published_demo</x:v>
      </x:c>
      <x:c r="H102" s="60" t="str">
        <x:v>security_relevant</x:v>
      </x:c>
      <x:c r="I102" s="60" t="str">
        <x:v>security_relevant</x:v>
      </x:c>
      <x:c r="J102" s="60" t="str">
        <x:v>evaluation</x:v>
      </x:c>
      <x:c r="K102" s="60" t="str">
        <x:v>system_demo</x:v>
      </x:c>
      <x:c r="L102" s="60" t="str">
        <x:v>yes: the toolkit makes topology, environment, protocol, agents, tasks, and global trajectories configurable</x:v>
      </x:c>
      <x:c r="M102" s="60" t="str">
        <x:v>mixed_risk_probe_evidence</x:v>
      </x:c>
      <x:c r="N102" s="60" t="str">
        <x:v>mixed collective integrity, resource control, and reliability failures</x:v>
      </x:c>
      <x:c r="O102" s="60" t="str">
        <x:v>ready_after_minor_patch</x:v>
      </x:c>
      <x:c r="P102" s="60" t="str">
        <x:v>assistant_source_reviewed_pending_author_signoff</x:v>
      </x:c>
      <x:c r="Q102" s="60" t="str">
        <x:v>yes: architecture-variable and trajectory-observation framework</x:v>
      </x:c>
      <x:c r="R102" s="60" t="str">
        <x:v>https://aclanthology.org/2026.acl-demo.17/</x:v>
      </x:c>
      <x:c r="S102" s="60" t="str">
        <x:v>Yes</x:v>
      </x:c>
      <x:c r="T102" s="60" t="str">
        <x:v>No</x:v>
      </x:c>
      <x:c r="U102" s="60" t="str">
        <x:v>No</x:v>
      </x:c>
    </x:row>
    <x:row r="103">
      <x:c r="A103" s="60" t="n">
        <x:v>102</x:v>
      </x:c>
      <x:c r="B103" s="60" t="str">
        <x:v>cross_category</x:v>
      </x:c>
      <x:c r="C103" s="60" t="str">
        <x:v>kavathekar2026tamas</x:v>
      </x:c>
      <x:c r="D103" s="60" t="str">
        <x:v>TAMAS: Benchmarking Adversarial Risks in Multi-Agent LLM Systems</x:v>
      </x:c>
      <x:c r="E103" s="60" t="str">
        <x:v>ACL 2026</x:v>
      </x:c>
      <x:c r="F103" s="60" t="str">
        <x:v>Published ACL 2026 version</x:v>
      </x:c>
      <x:c r="G103" s="60" t="str">
        <x:v>verified_published</x:v>
      </x:c>
      <x:c r="H103" s="60" t="str">
        <x:v>security_relevant</x:v>
      </x:c>
      <x:c r="I103" s="60" t="str">
        <x:v>core_security</x:v>
      </x:c>
      <x:c r="J103" s="60" t="str">
        <x:v>evaluation</x:v>
      </x:c>
      <x:c r="K103" s="60" t="str">
        <x:v>benchmark</x:v>
      </x:c>
      <x:c r="L103" s="60" t="str">
        <x:v>yes: attacks are evaluated across centralized, decentralized, and sequential LLM MAS configurations with routing, trust, and tools</x:v>
      </x:c>
      <x:c r="M103" s="60" t="str">
        <x:v>confirmed_attack_bearing</x:v>
      </x:c>
      <x:c r="N103" s="60" t="str">
        <x:v>workflow confidentiality, action integrity, and availability failure</x:v>
      </x:c>
      <x:c r="O103" s="60" t="str">
        <x:v>ready_after_minor_patch</x:v>
      </x:c>
      <x:c r="P103" s="60" t="str">
        <x:v>assistant_source_reviewed_pending_author_signoff</x:v>
      </x:c>
      <x:c r="Q103" s="60" t="str">
        <x:v>yes: broad benchmark and metric-contract anchor</x:v>
      </x:c>
      <x:c r="R103" s="60" t="str">
        <x:v>https://aclanthology.org/2026.acl-long.1442/</x:v>
      </x:c>
      <x:c r="S103" s="60" t="str">
        <x:v>Yes</x:v>
      </x:c>
      <x:c r="T103" s="60" t="str">
        <x:v>Yes</x:v>
      </x:c>
      <x:c r="U103" s="60" t="str">
        <x:v>No</x:v>
      </x:c>
    </x:row>
    <x:row r="104">
      <x:c r="A104" s="60" t="n">
        <x:v>103</x:v>
      </x:c>
      <x:c r="B104" s="60" t="str">
        <x:v>cross_category</x:v>
      </x:c>
      <x:c r="C104" s="60" t="str">
        <x:v>liu2026valueflow</x:v>
      </x:c>
      <x:c r="D104" s="60" t="str">
        <x:v>ValueFlow: Measuring the Propagation of Value Perturbations in Multi-Agent LLM Systems</x:v>
      </x:c>
      <x:c r="E104" s="60" t="str">
        <x:v>arXiv preprint</x:v>
      </x:c>
      <x:c r="F104" s="60" t="str">
        <x:v>arXiv v2; no archival venue verified</x:v>
      </x:c>
      <x:c r="G104" s="60" t="str">
        <x:v>verified_preprint</x:v>
      </x:c>
      <x:c r="H104" s="60" t="str">
        <x:v>security_relevant</x:v>
      </x:c>
      <x:c r="I104" s="60" t="str">
        <x:v>security_relevant</x:v>
      </x:c>
      <x:c r="J104" s="60" t="str">
        <x:v>evaluation</x:v>
      </x:c>
      <x:c r="K104" s="60" t="str">
        <x:v>evaluation</x:v>
      </x:c>
      <x:c r="L104" s="60" t="str">
        <x:v>yes: a node-level value perturbation is measured through downstream messages and final system outputs under varied roles and topologies</x:v>
      </x:c>
      <x:c r="M104" s="60" t="str">
        <x:v>controlled_perturbation_evidence</x:v>
      </x:c>
      <x:c r="N104" s="60" t="str">
        <x:v>collective value/objective integrity perturbation</x:v>
      </x:c>
      <x:c r="O104" s="60" t="str">
        <x:v>ready_after_minor_patch</x:v>
      </x:c>
      <x:c r="P104" s="60" t="str">
        <x:v>assistant_source_reviewed_pending_author_signoff</x:v>
      </x:c>
      <x:c r="Q104" s="60" t="str">
        <x:v>yes: local-versus-global measurement example, with maturity caveat</x:v>
      </x:c>
      <x:c r="R104" s="60" t="str">
        <x:v>https://arxiv.org/abs/2602.08567</x:v>
      </x:c>
      <x:c r="S104" s="60" t="str">
        <x:v>No</x:v>
      </x:c>
      <x:c r="T104" s="60" t="str">
        <x:v>No</x:v>
      </x:c>
      <x:c r="U104" s="60" t="str">
        <x:v>Yes</x:v>
      </x:c>
    </x:row>
    <x:row r="105">
      <x:c r="A105" s="60" t="n">
        <x:v>104</x:v>
      </x:c>
      <x:c r="B105" s="60" t="str">
        <x:v>cross_category</x:v>
      </x:c>
      <x:c r="C105" s="60" t="str">
        <x:v>allegrini2025formalizing</x:v>
      </x:c>
      <x:c r="D105" s="60" t="str">
        <x:v>Formalizing the Safety, Security, and Functional Properties of Agentic AI Systems</x:v>
      </x:c>
      <x:c r="E105" s="60" t="str">
        <x:v>arXiv preprint</x:v>
      </x:c>
      <x:c r="F105" s="60" t="str">
        <x:v>arXiv v2; no archival publication verified</x:v>
      </x:c>
      <x:c r="G105" s="60" t="str">
        <x:v>verified_preprint</x:v>
      </x:c>
      <x:c r="H105" s="60" t="str">
        <x:v>core_security</x:v>
      </x:c>
      <x:c r="I105" s="60" t="str">
        <x:v>security_relevant</x:v>
      </x:c>
      <x:c r="J105" s="60" t="str">
        <x:v>general</x:v>
      </x:c>
      <x:c r="K105" s="60" t="str">
        <x:v>theoretical_framework</x:v>
      </x:c>
      <x:c r="L105" s="60" t="str">
        <x:v>yes, but mixed boundary: the model covers a host agent, external tools through MCP, peer agents through A2A, and task-lifecycle composition</x:v>
      </x:c>
      <x:c r="M105" s="60" t="str">
        <x:v>no_empirical_attack_evidence</x:v>
      </x:c>
      <x:c r="N105" s="60" t="str">
        <x:v>cross-protocol safety, security, liveness, completeness, or fairness invariant violation</x:v>
      </x:c>
      <x:c r="O105" s="60" t="str">
        <x:v>ready_after_major_patch</x:v>
      </x:c>
      <x:c r="P105" s="60" t="str">
        <x:v>assistant_source_reviewed_pending_author_signoff</x:v>
      </x:c>
      <x:c r="Q105" s="60" t="str">
        <x:v>yes: system-model and global-property vocabulary anchor, not empirical evidence</x:v>
      </x:c>
      <x:c r="R105" s="60" t="str">
        <x:v>https://arxiv.org/abs/2510.14133</x:v>
      </x:c>
      <x:c r="S105" s="60" t="str">
        <x:v>Yes</x:v>
      </x:c>
      <x:c r="T105" s="60" t="str">
        <x:v>Yes</x:v>
      </x:c>
      <x:c r="U105" s="60" t="str">
        <x:v>Yes</x:v>
      </x:c>
    </x:row>
    <x:row r="106">
      <x:c r="A106" s="60" t="n">
        <x:v>105</x:v>
      </x:c>
      <x:c r="B106" s="60" t="str">
        <x:v>cross_category</x:v>
      </x:c>
      <x:c r="C106" s="60" t="str">
        <x:v>bellay2025safesystems</x:v>
      </x:c>
      <x:c r="D106" s="60" t="str">
        <x:v>Safe Systems with Unsafe Agents: Challenges and Opportunities</x:v>
      </x:c>
      <x:c r="E106" s="60" t="str">
        <x:v>AAMAS 2025 Blue Sky Ideas</x:v>
      </x:c>
      <x:c r="F106" s="60" t="str">
        <x:v>Published AAMAS 2025 Blue Sky paper, pp. 2849-2853</x:v>
      </x:c>
      <x:c r="G106" s="60" t="str">
        <x:v>verified_published_position</x:v>
      </x:c>
      <x:c r="H106" s="60" t="str">
        <x:v>adjacent</x:v>
      </x:c>
      <x:c r="I106" s="60" t="str">
        <x:v>adjacent</x:v>
      </x:c>
      <x:c r="J106" s="60" t="str">
        <x:v>general</x:v>
      </x:c>
      <x:c r="K106" s="60" t="str">
        <x:v>position_paper</x:v>
      </x:c>
      <x:c r="L106" s="60" t="str">
        <x:v>yes: the thesis concerns system-level safety despite unsafe or unreliable members</x:v>
      </x:c>
      <x:c r="M106" s="60" t="str">
        <x:v>no_attack_evidence</x:v>
      </x:c>
      <x:c r="N106" s="60" t="str">
        <x:v>global mission/safety invariant violation despite local component assumptions</x:v>
      </x:c>
      <x:c r="O106" s="60" t="str">
        <x:v>ready_after_minor_patch</x:v>
      </x:c>
      <x:c r="P106" s="60" t="str">
        <x:v>assistant_source_reviewed_pending_author_signoff</x:v>
      </x:c>
      <x:c r="Q106" s="60" t="str">
        <x:v>no: conceptual support only</x:v>
      </x:c>
      <x:c r="R106" s="60" t="str">
        <x:v>https://www.ifaamas.org/Proceedings/aamas2025/pdfs/p2849.pdf</x:v>
      </x:c>
      <x:c r="S106" s="60" t="str">
        <x:v>Yes</x:v>
      </x:c>
      <x:c r="T106" s="60" t="str">
        <x:v>No</x:v>
      </x:c>
      <x:c r="U106" s="60" t="str">
        <x:v>No</x:v>
      </x:c>
    </x:row>
    <x:row r="107">
      <x:c r="A107" s="60" t="n">
        <x:v>106</x:v>
      </x:c>
      <x:c r="B107" s="60" t="str">
        <x:v>cross_category</x:v>
      </x:c>
      <x:c r="C107" s="60" t="str">
        <x:v>hu2025responsibility</x:v>
      </x:c>
      <x:c r="D107" s="60" t="str">
        <x:v>Stop Reducing Responsibility in LLM-Powered Multi-Agent Systems to Local Alignment</x:v>
      </x:c>
      <x:c r="E107" s="60" t="str">
        <x:v>arXiv preprint</x:v>
      </x:c>
      <x:c r="F107" s="60" t="str">
        <x:v>arXiv v2; no archival venue verified</x:v>
      </x:c>
      <x:c r="G107" s="60" t="str">
        <x:v>verified_preprint</x:v>
      </x:c>
      <x:c r="H107" s="60" t="str">
        <x:v>security_relevant</x:v>
      </x:c>
      <x:c r="I107" s="60" t="str">
        <x:v>security_relevant</x:v>
      </x:c>
      <x:c r="J107" s="60" t="str">
        <x:v>general</x:v>
      </x:c>
      <x:c r="K107" s="60" t="str">
        <x:v>position_paper</x:v>
      </x:c>
      <x:c r="L107" s="60" t="str">
        <x:v>yes: responsibility is explicitly framed as a lifecycle-wide collective property over agreement, uncertainty, and security</x:v>
      </x:c>
      <x:c r="M107" s="60" t="str">
        <x:v>no_empirical_attack_evidence</x:v>
      </x:c>
      <x:c r="N107" s="60" t="str">
        <x:v>collective objective, agreement, and accountability failure</x:v>
      </x:c>
      <x:c r="O107" s="60" t="str">
        <x:v>ready_after_minor_patch</x:v>
      </x:c>
      <x:c r="P107" s="60" t="str">
        <x:v>assistant_source_reviewed_pending_author_signoff</x:v>
      </x:c>
      <x:c r="Q107" s="60" t="str">
        <x:v>no: useful framing, not load-bearing empirical evidence</x:v>
      </x:c>
      <x:c r="R107" s="60" t="str">
        <x:v>https://arxiv.org/abs/2510.14008</x:v>
      </x:c>
      <x:c r="S107" s="60" t="str">
        <x:v>Yes</x:v>
      </x:c>
      <x:c r="T107" s="60" t="str">
        <x:v>No</x:v>
      </x:c>
      <x:c r="U107" s="60" t="str">
        <x:v>Yes</x:v>
      </x:c>
    </x:row>
    <x:row r="108">
      <x:c r="A108" s="60" t="n">
        <x:v>107</x:v>
      </x:c>
      <x:c r="B108" s="60" t="str">
        <x:v>cross_category</x:v>
      </x:c>
      <x:c r="C108" s="60" t="str">
        <x:v>anbiaee2026protocols</x:v>
      </x:c>
      <x:c r="D108" s="60" t="str">
        <x:v>Security Threat Modeling for Emerging AI-Agent Protocols: A Comparative Analysis of MCP, A2A, Agora, and ANP</x:v>
      </x:c>
      <x:c r="E108" s="60" t="str">
        <x:v>arXiv preprint</x:v>
      </x:c>
      <x:c r="F108" s="60" t="str">
        <x:v>arXiv v2; no archival venue verified</x:v>
      </x:c>
      <x:c r="G108" s="60" t="str">
        <x:v>verified_preprint</x:v>
      </x:c>
      <x:c r="H108" s="60" t="str">
        <x:v>core_security</x:v>
      </x:c>
      <x:c r="I108" s="60" t="str">
        <x:v>security_relevant</x:v>
      </x:c>
      <x:c r="J108" s="60" t="str">
        <x:v>general</x:v>
      </x:c>
      <x:c r="K108" s="60" t="str">
        <x:v>threat_modeling_study</x:v>
      </x:c>
      <x:c r="L108" s="60" t="str">
        <x:v>mixed: A2A, Agora, and ANP are cross-agent protocols, while MCP is primarily agent-to-tool/server and serves as a comparator</x:v>
      </x:c>
      <x:c r="M108" s="60" t="str">
        <x:v>protocol_threat_model_and_case_study</x:v>
      </x:c>
      <x:c r="N108" s="60" t="str">
        <x:v>protocol identity, authorization, integrity, confidentiality, and availability failure</x:v>
      </x:c>
      <x:c r="O108" s="60" t="str">
        <x:v>ready_after_major_patch</x:v>
      </x:c>
      <x:c r="P108" s="60" t="str">
        <x:v>assistant_source_reviewed_pending_author_signoff</x:v>
      </x:c>
      <x:c r="Q108" s="60" t="str">
        <x:v>yes: protocol-surface and assumption model anchor</x:v>
      </x:c>
      <x:c r="R108" s="60" t="str">
        <x:v>https://arxiv.org/abs/2602.11327</x:v>
      </x:c>
      <x:c r="S108" s="60" t="str">
        <x:v>Yes</x:v>
      </x:c>
      <x:c r="T108" s="60" t="str">
        <x:v>Yes</x:v>
      </x:c>
      <x:c r="U108" s="60" t="str">
        <x:v>Yes</x:v>
      </x:c>
    </x:row>
    <x:row r="109">
      <x:c r="A109" s="60" t="n">
        <x:v>108</x:v>
      </x:c>
      <x:c r="B109" s="60" t="str">
        <x:v>cross_category</x:v>
      </x:c>
      <x:c r="C109" s="60" t="str">
        <x:v>yu2025trustworthyagents</x:v>
      </x:c>
      <x:c r="D109" s="60" t="str">
        <x:v>A Survey on Trustworthy LLM Agents: Threats and Countermeasures</x:v>
      </x:c>
      <x:c r="E109" s="60" t="str">
        <x:v>KDD 2025</x:v>
      </x:c>
      <x:c r="F109" s="60" t="str">
        <x:v>Published KDD 2025 paper, pp. 6216-6226; arXiv preprint is supporting full text</x:v>
      </x:c>
      <x:c r="G109" s="60" t="str">
        <x:v>verified_published_metadata_patch</x:v>
      </x:c>
      <x:c r="H109" s="60" t="str">
        <x:v>security_relevant</x:v>
      </x:c>
      <x:c r="I109" s="60" t="str">
        <x:v>security_relevant</x:v>
      </x:c>
      <x:c r="J109" s="60" t="str">
        <x:v>survey</x:v>
      </x:c>
      <x:c r="K109" s="60" t="str">
        <x:v>survey</x:v>
      </x:c>
      <x:c r="L109" s="60" t="str">
        <x:v>partial: MAS and other agents are an extrinsic module in a broader trustworthy-agent component framework</x:v>
      </x:c>
      <x:c r="M109" s="60" t="str">
        <x:v>survey_only</x:v>
      </x:c>
      <x:c r="N109" s="60" t="str">
        <x:v>broad safety, robustness, privacy, fairness, and trustworthiness failures</x:v>
      </x:c>
      <x:c r="O109" s="60" t="str">
        <x:v>ready_after_major_patch</x:v>
      </x:c>
      <x:c r="P109" s="60" t="str">
        <x:v>assistant_source_reviewed_pending_author_signoff</x:v>
      </x:c>
      <x:c r="Q109" s="60" t="str">
        <x:v>yes: closest broad trustworthy-agent survey comparator</x:v>
      </x:c>
      <x:c r="R109" s="60" t="str">
        <x:v>https://doi.org/10.1145/3711896.3736561</x:v>
      </x:c>
      <x:c r="S109" s="60" t="str">
        <x:v>No</x:v>
      </x:c>
      <x:c r="T109" s="60" t="str">
        <x:v>No</x:v>
      </x:c>
      <x:c r="U109" s="60" t="str">
        <x:v>Yes</x:v>
      </x:c>
    </x:row>
    <x:row r="110">
      <x:c r="A110" s="60" t="n">
        <x:v>109</x:v>
      </x:c>
      <x:c r="B110" s="60" t="str">
        <x:v>cross_category</x:v>
      </x:c>
      <x:c r="C110" s="60" t="str">
        <x:v>deng2025agentsunderthreat</x:v>
      </x:c>
      <x:c r="D110" s="60" t="str">
        <x:v>AI Agents Under Threat: A Survey of Key Security Challenges and Future Pathways</x:v>
      </x:c>
      <x:c r="E110" s="60" t="str">
        <x:v>ACM Computing Surveys 57(7), Article 182</x:v>
      </x:c>
      <x:c r="F110" s="60" t="str">
        <x:v>Published ACM Computing Surveys version</x:v>
      </x:c>
      <x:c r="G110" s="60" t="str">
        <x:v>verified_published</x:v>
      </x:c>
      <x:c r="H110" s="60" t="str">
        <x:v>security_relevant</x:v>
      </x:c>
      <x:c r="I110" s="60" t="str">
        <x:v>security_relevant</x:v>
      </x:c>
      <x:c r="J110" s="60" t="str">
        <x:v>survey</x:v>
      </x:c>
      <x:c r="K110" s="60" t="str">
        <x:v>survey</x:v>
      </x:c>
      <x:c r="L110" s="60" t="str">
        <x:v>partial: interactions with external entities and some MAS risks are covered inside a broad AI-agent security survey</x:v>
      </x:c>
      <x:c r="M110" s="60" t="str">
        <x:v>survey_only</x:v>
      </x:c>
      <x:c r="N110" s="60" t="str">
        <x:v>broad agent security and privacy failures</x:v>
      </x:c>
      <x:c r="O110" s="60" t="str">
        <x:v>ready_after_minor_patch</x:v>
      </x:c>
      <x:c r="P110" s="60" t="str">
        <x:v>assistant_source_reviewed_pending_author_signoff</x:v>
      </x:c>
      <x:c r="Q110" s="60" t="str">
        <x:v>yes: single/general-agent survey comparator for gap positioning</x:v>
      </x:c>
      <x:c r="R110" s="60" t="str">
        <x:v>https://doi.org/10.1145/3716628</x:v>
      </x:c>
      <x:c r="S110" s="60" t="str">
        <x:v>No</x:v>
      </x:c>
      <x:c r="T110" s="60" t="str">
        <x:v>No</x:v>
      </x:c>
      <x:c r="U110" s="60" t="str">
        <x:v>No</x:v>
      </x:c>
    </x:row>
    <x:row r="111">
      <x:c r="A111" s="60" t="n">
        <x:v>110</x:v>
      </x:c>
      <x:c r="B111" s="60" t="str">
        <x:v>cross_category</x:v>
      </x:c>
      <x:c r="C111" s="60" t="str">
        <x:v>schroederdewitt2025openchallenges</x:v>
      </x:c>
      <x:c r="D111" s="60" t="str">
        <x:v>Open Challenges in Multi-Agent Security: Towards Secure Systems of Interacting AI Agents</x:v>
      </x:c>
      <x:c r="E111" s="60" t="str">
        <x:v>arXiv preprint</x:v>
      </x:c>
      <x:c r="F111" s="60" t="str">
        <x:v>arXiv v2 dated 29 April 2026; 82-page evolving position/survey paper</x:v>
      </x:c>
      <x:c r="G111" s="60" t="str">
        <x:v>verified_preprint_author_list_patch</x:v>
      </x:c>
      <x:c r="H111" s="60" t="str">
        <x:v>security_relevant</x:v>
      </x:c>
      <x:c r="I111" s="60" t="str">
        <x:v>core_security</x:v>
      </x:c>
      <x:c r="J111" s="60" t="str">
        <x:v>survey</x:v>
      </x:c>
      <x:c r="K111" s="60" t="str">
        <x:v>survey_position</x:v>
      </x:c>
      <x:c r="L111" s="60" t="str">
        <x:v>yes: interacting AI agents, shared environments, network effects, coalitions, protocols, and observability are the sole focus</x:v>
      </x:c>
      <x:c r="M111" s="60" t="str">
        <x:v>survey_and_anticipatory_threats</x:v>
      </x:c>
      <x:c r="N111" s="60" t="str">
        <x:v>systemic security, privacy, oversight, accountability, and stability failures</x:v>
      </x:c>
      <x:c r="O111" s="60" t="str">
        <x:v>ready_after_major_patch</x:v>
      </x:c>
      <x:c r="P111" s="60" t="str">
        <x:v>assistant_source_reviewed_pending_author_signoff</x:v>
      </x:c>
      <x:c r="Q111" s="60" t="str">
        <x:v>yes: closest multi-agent security framing and non-compositionality comparator</x:v>
      </x:c>
      <x:c r="R111" s="60" t="str">
        <x:v>https://arxiv.org/abs/2505.02077</x:v>
      </x:c>
      <x:c r="S111" s="60" t="str">
        <x:v>Yes</x:v>
      </x:c>
      <x:c r="T111" s="60" t="str">
        <x:v>Yes</x:v>
      </x:c>
      <x:c r="U111" s="60" t="str">
        <x:v>Yes</x:v>
      </x:c>
    </x:row>
    <x:row r="112">
      <x:c r="A112" s="60" t="n">
        <x:v>111</x:v>
      </x:c>
      <x:c r="B112" s="60" t="str">
        <x:v>cross_category</x:v>
      </x:c>
      <x:c r="C112" s="60" t="str">
        <x:v>he2025emergedsecurity</x:v>
      </x:c>
      <x:c r="D112" s="60" t="str">
        <x:v>The Emerged Security and Privacy of LLM Agent: A Survey with Case Studies</x:v>
      </x:c>
      <x:c r="E112" s="60" t="str">
        <x:v>ACM Computing Surveys 58(6), Article 162</x:v>
      </x:c>
      <x:c r="F112" s="60" t="str">
        <x:v>Published ACM Computing Surveys version, December 2025</x:v>
      </x:c>
      <x:c r="G112" s="60" t="str">
        <x:v>verified_published</x:v>
      </x:c>
      <x:c r="H112" s="60" t="str">
        <x:v>security_relevant</x:v>
      </x:c>
      <x:c r="I112" s="60" t="str">
        <x:v>security_relevant</x:v>
      </x:c>
      <x:c r="J112" s="60" t="str">
        <x:v>survey</x:v>
      </x:c>
      <x:c r="K112" s="60" t="str">
        <x:v>survey</x:v>
      </x:c>
      <x:c r="L112" s="60" t="str">
        <x:v>partial: agent-to-agent interaction appears within a broad LLM-agent security/privacy survey and case-study framing</x:v>
      </x:c>
      <x:c r="M112" s="60" t="str">
        <x:v>survey_case_studies_only</x:v>
      </x:c>
      <x:c r="N112" s="60" t="str">
        <x:v>broad security, privacy, availability, and safe-action failures</x:v>
      </x:c>
      <x:c r="O112" s="60" t="str">
        <x:v>ready_after_minor_patch</x:v>
      </x:c>
      <x:c r="P112" s="60" t="str">
        <x:v>assistant_source_reviewed_pending_author_signoff</x:v>
      </x:c>
      <x:c r="Q112" s="60" t="str">
        <x:v>yes: broad agent-security survey comparator</x:v>
      </x:c>
      <x:c r="R112" s="60" t="str">
        <x:v>https://doi.org/10.1145/3773080</x:v>
      </x:c>
      <x:c r="S112" s="60" t="str">
        <x:v>No</x:v>
      </x:c>
      <x:c r="T112" s="60" t="str">
        <x:v>No</x:v>
      </x:c>
      <x:c r="U112" s="60" t="str">
        <x:v>No</x:v>
      </x:c>
    </x:row>
    <x:row r="113">
      <x:c r="A113" s="60" t="n">
        <x:v>112</x:v>
      </x:c>
      <x:c r="B113" s="60" t="str">
        <x:v>cross_category</x:v>
      </x:c>
      <x:c r="C113" s="60" t="str">
        <x:v>ko2026sevenchallenges</x:v>
      </x:c>
      <x:c r="D113" s="60" t="str">
        <x:v>Seven Security Challenges in Cross-Domain Multi-Agent LLM Systems</x:v>
      </x:c>
      <x:c r="E113" s="60" t="str">
        <x:v>npj Artificial Intelligence 2026 (Perspective)</x:v>
      </x:c>
      <x:c r="F113" s="60" t="str">
        <x:v>Published open-access Perspective on 13 June 2026; publisher currently exposes an unedited early-access version</x:v>
      </x:c>
      <x:c r="G113" s="60" t="str">
        <x:v>verified_published_early_access</x:v>
      </x:c>
      <x:c r="H113" s="60" t="str">
        <x:v>security_relevant</x:v>
      </x:c>
      <x:c r="I113" s="60" t="str">
        <x:v>core_security</x:v>
      </x:c>
      <x:c r="J113" s="60" t="str">
        <x:v>survey</x:v>
      </x:c>
      <x:c r="K113" s="60" t="str">
        <x:v>perspective</x:v>
      </x:c>
      <x:c r="L113" s="60" t="str">
        <x:v>yes: cross-domain LLM-agent trust, interoperability, context, and policy composition are the sole scope</x:v>
      </x:c>
      <x:c r="M113" s="60" t="str">
        <x:v>plausible_attack_scenarios_not_primary_evidence</x:v>
      </x:c>
      <x:c r="N113" s="60" t="str">
        <x:v>cross-domain integrity, confidentiality, accountability, and policy-composition failure</x:v>
      </x:c>
      <x:c r="O113" s="60" t="str">
        <x:v>ready_after_major_patch</x:v>
      </x:c>
      <x:c r="P113" s="60" t="str">
        <x:v>assistant_source_reviewed_pending_author_signoff</x:v>
      </x:c>
      <x:c r="Q113" s="60" t="str">
        <x:v>yes: closest peer-reviewed MAS-specific related-work comparator</x:v>
      </x:c>
      <x:c r="R113" s="60" t="str">
        <x:v>https://doi.org/10.1038/s44387-026-00128-9</x:v>
      </x:c>
      <x:c r="S113" s="60" t="str">
        <x:v>Yes</x:v>
      </x:c>
      <x:c r="T113" s="60" t="str">
        <x:v>Yes</x:v>
      </x:c>
      <x:c r="U113" s="60" t="str">
        <x:v>No</x:v>
      </x:c>
    </x:row>
    <x:row r="114">
      <x:c r="A114" s="60" t="n">
        <x:v>113</x:v>
      </x:c>
      <x:c r="B114" s="60" t="str">
        <x:v>cross_category</x:v>
      </x:c>
      <x:c r="C114" s="60" t="str">
        <x:v>kim2026agenticai</x:v>
      </x:c>
      <x:c r="D114" s="60" t="str">
        <x:v>SoK: Attack and Defense Landscape of Agentic AI Systems</x:v>
      </x:c>
      <x:c r="E114" s="60" t="str">
        <x:v>USENIX Security 2026</x:v>
      </x:c>
      <x:c r="F114" s="60" t="str">
        <x:v>USENIX Security 2026 accepted/presentation page with prepublication paper</x:v>
      </x:c>
      <x:c r="G114" s="60" t="str">
        <x:v>verified_published_program</x:v>
      </x:c>
      <x:c r="H114" s="60" t="str">
        <x:v>security_relevant</x:v>
      </x:c>
      <x:c r="I114" s="60" t="str">
        <x:v>security_relevant</x:v>
      </x:c>
      <x:c r="J114" s="60" t="str">
        <x:v>survey</x:v>
      </x:c>
      <x:c r="K114" s="60" t="str">
        <x:v>sok</x:v>
      </x:c>
      <x:c r="L114" s="60" t="str">
        <x:v>partial: multi-agent systems appear within a broader agentic-AI component and design-space SoK</x:v>
      </x:c>
      <x:c r="M114" s="60" t="str">
        <x:v>sok_only</x:v>
      </x:c>
      <x:c r="N114" s="60" t="str">
        <x:v>agentic component and system security/privacy failures</x:v>
      </x:c>
      <x:c r="O114" s="60" t="str">
        <x:v>ready_after_minor_patch</x:v>
      </x:c>
      <x:c r="P114" s="60" t="str">
        <x:v>assistant_source_reviewed_pending_author_signoff</x:v>
      </x:c>
      <x:c r="Q114" s="60" t="str">
        <x:v>yes: primary comparator for novelty and paper structure</x:v>
      </x:c>
      <x:c r="R114" s="60" t="str">
        <x:v>https://www.usenix.org/conference/usenixsecurity26/presentation/kim-juhee-agentic</x:v>
      </x:c>
      <x:c r="S114" s="60" t="str">
        <x:v>Yes</x:v>
      </x:c>
      <x:c r="T114" s="60" t="str">
        <x:v>No</x:v>
      </x:c>
      <x:c r="U114" s="60" t="str">
        <x:v>No</x:v>
      </x:c>
    </x:row>
    <x:row r="115">
      <x:c r="A115" s="60" t="n">
        <x:v>114</x:v>
      </x:c>
      <x:c r="B115" s="60" t="str">
        <x:v>cross_category</x:v>
      </x:c>
      <x:c r="C115" s="60" t="str">
        <x:v>raza2026trism</x:v>
      </x:c>
      <x:c r="D115" s="60" t="str">
        <x:v>TRiSM for Agentic AI: A Review of Trust, Risk, and Security Management in LLM-based Agentic Multi-Agent Systems</x:v>
      </x:c>
      <x:c r="E115" s="60" t="str">
        <x:v>AI Open 7 (2026), pp. 71-95</x:v>
      </x:c>
      <x:c r="F115" s="60" t="str">
        <x:v>Published open-access AI Open version; arXiv preprint merged</x:v>
      </x:c>
      <x:c r="G115" s="60" t="str">
        <x:v>verified_published</x:v>
      </x:c>
      <x:c r="H115" s="60" t="str">
        <x:v>security_relevant</x:v>
      </x:c>
      <x:c r="I115" s="60" t="str">
        <x:v>security_relevant</x:v>
      </x:c>
      <x:c r="J115" s="60" t="str">
        <x:v>survey</x:v>
      </x:c>
      <x:c r="K115" s="60" t="str">
        <x:v>review</x:v>
      </x:c>
      <x:c r="L115" s="60" t="str">
        <x:v>yes, but governance-primary: agentic multi-agent coordination, component synergy, tools, and lifecycle governance are central</x:v>
      </x:c>
      <x:c r="M115" s="60" t="str">
        <x:v>review_only</x:v>
      </x:c>
      <x:c r="N115" s="60" t="str">
        <x:v>trust, privacy, security, explainability, and operational governance failure</x:v>
      </x:c>
      <x:c r="O115" s="60" t="str">
        <x:v>ready_after_minor_patch</x:v>
      </x:c>
      <x:c r="P115" s="60" t="str">
        <x:v>assistant_source_reviewed_pending_author_signoff</x:v>
      </x:c>
      <x:c r="Q115" s="60" t="str">
        <x:v>yes: governance/MAS review comparator in related-work table</x:v>
      </x:c>
      <x:c r="R115" s="60" t="str">
        <x:v>https://doi.org/10.1016/j.aiopen.2026.02.006</x:v>
      </x:c>
      <x:c r="S115" s="60" t="str">
        <x:v>Yes</x:v>
      </x:c>
      <x:c r="T115" s="60" t="str">
        <x:v>No</x:v>
      </x:c>
      <x:c r="U115" s="60" t="str">
        <x:v>Yes</x:v>
      </x:c>
    </x:row>
  </x:sheetData>
  <x:conditionalFormatting sqref="O2:O115">
    <x:cfRule type="expression" dxfId="0" priority="1">
      <x:formula>OR(ISNUMBER(SEARCH("blocked",O2)),ISNUMBER(SEARCH("pending",O2)))</x:formula>
    </x:cfRule>
  </x:conditionalFormatting>
  <x:conditionalFormatting sqref="S2:T115">
    <x:cfRule type="expression" dxfId="1" priority="2">
      <x:formula>S2="Yes"</x:formula>
    </x:cfRule>
  </x:conditionalFormatting>
  <x:pageMargins left="0.7" right="0.7" top="0.75" bottom="0.75" header="0.3" footer="0.3"/>
  <x:tableParts count="1">
    <x:tablePart xmlns:r="http://schemas.openxmlformats.org/officeDocument/2006/relationships" r:id="R4f9bbb1f9b5d4d56"/>
  </x:tableParts>
</x:worksheet>
</file>

<file path=xl/worksheets/sheet3.xml><?xml version="1.0" encoding="utf-8"?>
<x:worksheet xmlns:x="http://schemas.openxmlformats.org/spreadsheetml/2006/main">
  <x:sheetFormatPr defaultRowHeight="15"/>
  <x:cols>
    <x:col min="1" max="1" width="8" hidden="0" customWidth="1"/>
    <x:col min="2" max="2" width="15" hidden="0" customWidth="1"/>
    <x:col min="3" max="3" width="24" hidden="0" customWidth="1"/>
    <x:col min="4" max="4" width="46" hidden="0" customWidth="1"/>
    <x:col min="5" max="5" width="46" hidden="0" customWidth="1"/>
    <x:col min="6" max="6" width="9" hidden="0" customWidth="1"/>
    <x:col min="7" max="7" width="26" hidden="0" customWidth="1"/>
    <x:col min="8" max="8" width="25" hidden="0" customWidth="1"/>
    <x:col min="9" max="9" width="42" hidden="0" customWidth="1"/>
    <x:col min="10" max="10" width="40" hidden="0" customWidth="1"/>
    <x:col min="11" max="11" width="28" hidden="0" customWidth="1"/>
    <x:col min="12" max="12" width="48" hidden="0" customWidth="1"/>
    <x:col min="13" max="13" width="17" hidden="0" customWidth="1"/>
    <x:col min="14" max="14" width="19" hidden="0" customWidth="1"/>
    <x:col min="15" max="15" width="55" hidden="0" customWidth="1"/>
  </x:cols>
  <x:sheetData>
    <x:row r="1" ht="34" customHeight="1">
      <x:c r="A1" s="53" t="str">
        <x:v>Priority</x:v>
      </x:c>
      <x:c r="B1" s="53" t="str">
        <x:v>Track</x:v>
      </x:c>
      <x:c r="C1" s="53" t="str">
        <x:v>Paper ID</x:v>
      </x:c>
      <x:c r="D1" s="53" t="str">
        <x:v>Title</x:v>
      </x:c>
      <x:c r="E1" s="53" t="str">
        <x:v>Authors</x:v>
      </x:c>
      <x:c r="F1" s="53" t="str">
        <x:v>Year</x:v>
      </x:c>
      <x:c r="G1" s="53" t="str">
        <x:v>Venue</x:v>
      </x:c>
      <x:c r="H1" s="53" t="str">
        <x:v>DOI</x:v>
      </x:c>
      <x:c r="I1" s="53" t="str">
        <x:v>Source URL</x:v>
      </x:c>
      <x:c r="J1" s="53" t="str">
        <x:v>Version Status</x:v>
      </x:c>
      <x:c r="K1" s="53" t="str">
        <x:v>Identity Verdict</x:v>
      </x:c>
      <x:c r="L1" s="53" t="str">
        <x:v>Multi-Agent Boundary</x:v>
      </x:c>
      <x:c r="M1" s="53" t="str">
        <x:v>Current Scope</x:v>
      </x:c>
      <x:c r="N1" s="53" t="str">
        <x:v>Recommended Scope</x:v>
      </x:c>
      <x:c r="O1" s="53" t="str">
        <x:v>Scope Rationale</x:v>
      </x:c>
    </x:row>
    <x:row r="2">
      <x:c r="A2" s="60" t="n">
        <x:v>1</x:v>
      </x:c>
      <x:c r="B2" s="60" t="str">
        <x:v>load_bearing</x:v>
      </x:c>
      <x:c r="C2" s="60" t="str">
        <x:v>gu2024agent_smith</x:v>
      </x:c>
      <x:c r="D2" s="60" t="str">
        <x:v>Agent Smith: A Single Image Can Jailbreak One Million Multimodal LLM Agents Exponentially Fast</x:v>
      </x:c>
      <x:c r="E2" s="60" t="str"/>
      <x:c r="F2" s="60" t="str"/>
      <x:c r="G2" s="60" t="str">
        <x:v>ICML 2024, PMLR 235</x:v>
      </x:c>
      <x:c r="H2" s="60" t="str">
        <x:v>Not reported</x:v>
      </x:c>
      <x:c r="I2" s="60" t="str">
        <x:v>https://proceedings.mlr.press/v235/gu24e.html</x:v>
      </x:c>
      <x:c r="J2" s="60" t="str">
        <x:v>Canonical published ICML version confirmed. Current title, author list, and year are consistent with PMLR. Use the PMLR record as canonical and retain any arXiv copy only as a linked version.</x:v>
      </x:c>
      <x:c r="K2" s="60" t="str">
        <x:v>source_identity_reviewed</x:v>
      </x:c>
      <x:c r="L2" s="60" t="str">
        <x:v>The system contains independently instantiated multimodal agents with memory banks and randomized pairwise communication. Population spread and its growth are undefined for a single isolated agent.</x:v>
      </x:c>
      <x:c r="M2" s="60" t="str">
        <x:v>core_security</x:v>
      </x:c>
      <x:c r="N2" s="60" t="str">
        <x:v>core_security</x:v>
      </x:c>
      <x:c r="O2" s="60" t="str">
        <x:v>The system contains independently instantiated multimodal agents with memory banks and randomized pairwise communication. Population spread and its growth are undefined for a single isolated agent.</x:v>
      </x:c>
    </x:row>
    <x:row r="3">
      <x:c r="A3" s="60" t="n">
        <x:v>2</x:v>
      </x:c>
      <x:c r="B3" s="60" t="str">
        <x:v>load_bearing</x:v>
      </x:c>
      <x:c r="C3" s="60" t="str">
        <x:v>motwani2024secret_collusion</x:v>
      </x:c>
      <x:c r="D3" s="60" t="str">
        <x:v>Secret Collusion among AI Agents: Multi-Agent Deception via Steganography</x:v>
      </x:c>
      <x:c r="E3" s="60" t="str"/>
      <x:c r="F3" s="60" t="str"/>
      <x:c r="G3" s="60" t="str">
        <x:v>NeurIPS 2024</x:v>
      </x:c>
      <x:c r="H3" s="60" t="str">
        <x:v>10.52202/079017-2336</x:v>
      </x:c>
      <x:c r="I3" s="60" t="str">
        <x:v>https://proceedings.neurips.cc/paper_files/paper/2024/hash/861f7dad098aec1c3560fb7add468d41-Abstract-Conference.html</x:v>
      </x:c>
      <x:c r="J3" s="60" t="str">
        <x:v>Canonical NeurIPS 2024 proceedings version confirmed. Current title, authors, year, venue, and DOI are consistent with the proceedings.</x:v>
      </x:c>
      <x:c r="K3" s="60" t="str">
        <x:v>source_identity_reviewed</x:v>
      </x:c>
      <x:c r="L3" s="60" t="str">
        <x:v>Secret collusion requires at least a sender, receiver, and oversight model. The prohibited coordination and detectability question do not exist for one isolated agent.</x:v>
      </x:c>
      <x:c r="M3" s="60" t="str">
        <x:v>core_security</x:v>
      </x:c>
      <x:c r="N3" s="60" t="str">
        <x:v>core_security</x:v>
      </x:c>
      <x:c r="O3" s="60" t="str">
        <x:v>Secret collusion requires at least a sender, receiver, and oversight model. The prohibited coordination and detectability question do not exist for one isolated agent.</x:v>
      </x:c>
    </x:row>
    <x:row r="4">
      <x:c r="A4" s="60" t="n">
        <x:v>3</x:v>
      </x:c>
      <x:c r="B4" s="60" t="str">
        <x:v>load_bearing</x:v>
      </x:c>
      <x:c r="C4" s="60" t="str">
        <x:v>men2025troublemaker</x:v>
      </x:c>
      <x:c r="D4" s="60" t="str">
        <x:v>A Troublemaker with Contagious Jailbreak Makes Chaos in Honest Towns</x:v>
      </x:c>
      <x:c r="E4" s="60" t="str"/>
      <x:c r="F4" s="60" t="str"/>
      <x:c r="G4" s="60" t="str">
        <x:v>ACL 2025</x:v>
      </x:c>
      <x:c r="H4" s="60" t="str">
        <x:v>10.18653/v1/2025.acl-long.859</x:v>
      </x:c>
      <x:c r="I4" s="60" t="str">
        <x:v>https://aclanthology.org/2025.acl-long.859/</x:v>
      </x:c>
      <x:c r="J4" s="60" t="str">
        <x:v>Canonical ACL 2025 version confirmed. Current title, author list, DOI, venue, and year are correct.</x:v>
      </x:c>
      <x:c r="K4" s="60" t="str">
        <x:v>source_identity_reviewed</x:v>
      </x:c>
      <x:c r="L4" s="60" t="str">
        <x:v>One malicious member spreads jailbreak content through communication and independent memories; retrieval, replication, topology, and population size determine system-level propagation.</x:v>
      </x:c>
      <x:c r="M4" s="60" t="str">
        <x:v>core_security</x:v>
      </x:c>
      <x:c r="N4" s="60" t="str">
        <x:v>core_security</x:v>
      </x:c>
      <x:c r="O4" s="60" t="str">
        <x:v>One malicious member spreads jailbreak content through communication and independent memories; retrieval, replication, topology, and population size determine system-level propagation.</x:v>
      </x:c>
    </x:row>
    <x:row r="5">
      <x:c r="A5" s="60" t="n">
        <x:v>4</x:v>
      </x:c>
      <x:c r="B5" s="60" t="str">
        <x:v>load_bearing</x:v>
      </x:c>
      <x:c r="C5" s="60" t="str">
        <x:v>cohen2025ai_worm</x:v>
      </x:c>
      <x:c r="D5" s="60" t="str">
        <x:v>Here Comes the AI Worm: Preventing the Propagation of Adversarial Self-Replicating Prompts Within GenAI Ecosystems</x:v>
      </x:c>
      <x:c r="E5" s="60" t="str"/>
      <x:c r="F5" s="60" t="str"/>
      <x:c r="G5" s="60" t="str">
        <x:v>ACM CCS 2025, pp. 3975 to 3989</x:v>
      </x:c>
      <x:c r="H5" s="60" t="str">
        <x:v>10.1145/3719027.3765196</x:v>
      </x:c>
      <x:c r="I5" s="60" t="str">
        <x:v>https://doi.org/10.1145/3719027.3765196</x:v>
      </x:c>
      <x:c r="J5" s="60" t="str">
        <x:v>The CCS paper is the canonical version. The earlier arXiv version used the title 'Here Comes The AI Worm: Unleashing Zero-click Worms that Target GenAI-Powered Applications' and used earlier system names. Merge them as one work but preserve version-specific terminology and results.</x:v>
      </x:c>
      <x:c r="K5" s="60" t="str">
        <x:v>source_identity_reviewed</x:v>
      </x:c>
      <x:c r="L5" s="60" t="str">
        <x:v>The work studies a network of GenAI email and RAG applications and users. It is highly relevant to propagation, but the system boundary is broader than a population of independently stateful LLM agent cores.</x:v>
      </x:c>
      <x:c r="M5" s="60" t="str">
        <x:v>core_security</x:v>
      </x:c>
      <x:c r="N5" s="60" t="str">
        <x:v>security_relevant</x:v>
      </x:c>
      <x:c r="O5" s="60" t="str">
        <x:v>The work studies a network of GenAI email and RAG applications and users. It is highly relevant to propagation, but the system boundary is broader than a population of independently stateful LLM agent cores.</x:v>
      </x:c>
    </x:row>
    <x:row r="6">
      <x:c r="A6" s="60" t="n">
        <x:v>5</x:v>
      </x:c>
      <x:c r="B6" s="60" t="str">
        <x:v>load_bearing</x:v>
      </x:c>
      <x:c r="C6" s="60" t="str">
        <x:v>ju2026flooding</x:v>
      </x:c>
      <x:c r="D6" s="60" t="str">
        <x:v>Flooding Spread of Manipulated Knowledge in LLM-Based Multi-Agent Communities</x:v>
      </x:c>
      <x:c r="E6" s="60" t="str"/>
      <x:c r="F6" s="60" t="str"/>
      <x:c r="G6" s="60" t="str">
        <x:v>Science China Information Sciences 2026</x:v>
      </x:c>
      <x:c r="H6" s="60" t="str">
        <x:v>10.1007/s11432-024-4663-2</x:v>
      </x:c>
      <x:c r="I6" s="60" t="str">
        <x:v>https://doi.org/10.1007/s11432-024-4663-2</x:v>
      </x:c>
      <x:c r="J6" s="60" t="str">
        <x:v>The journal DOI and title are confirmed, but the final journal author metadata appears to disagree with the current ten-author record, potentially adding Yi Hua. The final journal PDF must be treated as authoritative before signoff.</x:v>
      </x:c>
      <x:c r="K6" s="60" t="str">
        <x:v>blocked_exact_source</x:v>
      </x:c>
      <x:c r="L6" s="60" t="str">
        <x:v>Manipulated knowledge spreads through communication and stored chat histories among LLM agents and persists through RAG retrieval.</x:v>
      </x:c>
      <x:c r="M6" s="60" t="str">
        <x:v>core_security</x:v>
      </x:c>
      <x:c r="N6" s="60" t="str">
        <x:v>core_security</x:v>
      </x:c>
      <x:c r="O6" s="60" t="str">
        <x:v>Manipulated knowledge spreads through communication and stored chat histories among LLM agents and persists through RAG retrieval.</x:v>
      </x:c>
    </x:row>
    <x:row r="7">
      <x:c r="A7" s="60" t="n">
        <x:v>6</x:v>
      </x:c>
      <x:c r="B7" s="60" t="str">
        <x:v>load_bearing</x:v>
      </x:c>
      <x:c r="C7" s="60" t="str">
        <x:v>wang2025gsafeguard</x:v>
      </x:c>
      <x:c r="D7" s="60" t="str">
        <x:v>G-Safeguard: A Topology-Guided Security Lens and Treatment on LLM-based Multi-agent Systems</x:v>
      </x:c>
      <x:c r="E7" s="60" t="str"/>
      <x:c r="F7" s="60" t="str"/>
      <x:c r="G7" s="60" t="str">
        <x:v>ACL 2025, pp. 7261 to 7276</x:v>
      </x:c>
      <x:c r="H7" s="60" t="str">
        <x:v>10.18653/v1/2025.acl-long.359</x:v>
      </x:c>
      <x:c r="I7" s="60" t="str">
        <x:v>https://aclanthology.org/2025.acl-long.359/</x:v>
      </x:c>
      <x:c r="J7" s="60" t="str">
        <x:v>Canonical ACL 2025 proceedings version confirmed. Metadata is correct.</x:v>
      </x:c>
      <x:c r="K7" s="60" t="str">
        <x:v>source_identity_reviewed</x:v>
      </x:c>
      <x:c r="L7" s="60" t="str">
        <x:v>The method explicitly represents multi-agent utterances and their graph relations and intervenes on communication topology.</x:v>
      </x:c>
      <x:c r="M7" s="60" t="str">
        <x:v>core_security</x:v>
      </x:c>
      <x:c r="N7" s="60" t="str">
        <x:v>core_security</x:v>
      </x:c>
      <x:c r="O7" s="60" t="str">
        <x:v>The method explicitly represents multi-agent utterances and their graph relations and intervenes on communication topology.</x:v>
      </x:c>
    </x:row>
    <x:row r="8">
      <x:c r="A8" s="60" t="n">
        <x:v>7</x:v>
      </x:c>
      <x:c r="B8" s="60" t="str">
        <x:v>load_bearing</x:v>
      </x:c>
      <x:c r="C8" s="60" t="str">
        <x:v>yu2025netsafe</x:v>
      </x:c>
      <x:c r="D8" s="60" t="str">
        <x:v>NetSafe: Exploring the Topological Safety of Multi-agent System</x:v>
      </x:c>
      <x:c r="E8" s="60" t="str"/>
      <x:c r="F8" s="60" t="str"/>
      <x:c r="G8" s="60" t="str">
        <x:v>Findings of ACL 2025</x:v>
      </x:c>
      <x:c r="H8" s="60" t="str">
        <x:v>10.18653/v1/2025.findings-acl.150</x:v>
      </x:c>
      <x:c r="I8" s="60" t="str">
        <x:v>https://aclanthology.org/2025.findings-acl.150/</x:v>
      </x:c>
      <x:c r="J8" s="60" t="str">
        <x:v>Canonical Findings of ACL 2025 version confirmed. Metadata is correct.</x:v>
      </x:c>
      <x:c r="K8" s="60" t="str">
        <x:v>source_identity_reviewed</x:v>
      </x:c>
      <x:c r="L8" s="60" t="str">
        <x:v>The paper mixes adversarial misinformation or harmful content with broader hallucination, bias, fairness, and reliability phenomena. Only the adversarial security claims should enter core-security statistics.</x:v>
      </x:c>
      <x:c r="M8" s="60" t="str">
        <x:v>core_security</x:v>
      </x:c>
      <x:c r="N8" s="60" t="str">
        <x:v>security_relevant at paper level; core_security for adversarial claims</x:v>
      </x:c>
      <x:c r="O8" s="60" t="str">
        <x:v>The paper mixes adversarial misinformation or harmful content with broader hallucination, bias, fairness, and reliability phenomena. Only the adversarial security claims should enter core-security statistics.</x:v>
      </x:c>
    </x:row>
    <x:row r="9">
      <x:c r="A9" s="60" t="n">
        <x:v>8</x:v>
      </x:c>
      <x:c r="B9" s="60" t="str">
        <x:v>load_bearing</x:v>
      </x:c>
      <x:c r="C9" s="60" t="str">
        <x:v>zhou2026corba</x:v>
      </x:c>
      <x:c r="D9" s="60" t="str">
        <x:v>CORBA: Contagious Recursive Blocking Attacks on Multi-Agent Systems Based on Large Language Models</x:v>
      </x:c>
      <x:c r="E9" s="60" t="str"/>
      <x:c r="F9" s="60" t="str"/>
      <x:c r="G9" s="60" t="str">
        <x:v>Findings of ACL 2026</x:v>
      </x:c>
      <x:c r="H9" s="60" t="str">
        <x:v>10.18653/v1/2026.findings-acl.342</x:v>
      </x:c>
      <x:c r="I9" s="60" t="str">
        <x:v>https://aclanthology.org/2026.findings-acl.342/</x:v>
      </x:c>
      <x:c r="J9" s="60" t="str">
        <x:v>Canonical Findings of ACL 2026 version confirmed. Metadata is correct.</x:v>
      </x:c>
      <x:c r="K9" s="60" t="str">
        <x:v>source_identity_reviewed</x:v>
      </x:c>
      <x:c r="L9" s="60" t="str">
        <x:v>Recursive communication among agents is the mechanism that turns semantically benign instructions into system-level blocking and paralysis.</x:v>
      </x:c>
      <x:c r="M9" s="60" t="str">
        <x:v>core_security</x:v>
      </x:c>
      <x:c r="N9" s="60" t="str">
        <x:v>core_security</x:v>
      </x:c>
      <x:c r="O9" s="60" t="str">
        <x:v>Recursive communication among agents is the mechanism that turns semantically benign instructions into system-level blocking and paralysis.</x:v>
      </x:c>
    </x:row>
    <x:row r="10">
      <x:c r="A10" s="60" t="n">
        <x:v>9</x:v>
      </x:c>
      <x:c r="B10" s="60" t="str">
        <x:v>load_bearing</x:v>
      </x:c>
      <x:c r="C10" s="60" t="str">
        <x:v>mathew2025hidden</x:v>
      </x:c>
      <x:c r="D10" s="60" t="str">
        <x:v>Hidden in Plain Text: Emergence and Mitigation of Steganographic Collusion in LLMs</x:v>
      </x:c>
      <x:c r="E10" s="60" t="str"/>
      <x:c r="F10" s="60" t="str"/>
      <x:c r="G10" s="60" t="str">
        <x:v>IJCNLP-AACL 2025</x:v>
      </x:c>
      <x:c r="H10" s="60" t="str">
        <x:v>10.18653/v1/2025.ijcnlp-long.34</x:v>
      </x:c>
      <x:c r="I10" s="60" t="str">
        <x:v>https://aclanthology.org/2025.ijcnlp-long.34/</x:v>
      </x:c>
      <x:c r="J10" s="60" t="str">
        <x:v>Canonical IJCNLP-AACL 2025 version confirmed. Metadata is correct.</x:v>
      </x:c>
      <x:c r="K10" s="60" t="str">
        <x:v>source_identity_reviewed</x:v>
      </x:c>
      <x:c r="L10" s="60" t="str">
        <x:v>The study uses communicating sender and receiver agents and an overseer; hidden coordination depends on interaction and incentive structure.</x:v>
      </x:c>
      <x:c r="M10" s="60" t="str">
        <x:v>core_security</x:v>
      </x:c>
      <x:c r="N10" s="60" t="str">
        <x:v>core_security</x:v>
      </x:c>
      <x:c r="O10" s="60" t="str">
        <x:v>The study uses communicating sender and receiver agents and an overseer; hidden coordination depends on interaction and incentive structure.</x:v>
      </x:c>
    </x:row>
    <x:row r="11">
      <x:c r="A11" s="60" t="n">
        <x:v>10</x:v>
      </x:c>
      <x:c r="B11" s="60" t="str">
        <x:v>load_bearing</x:v>
      </x:c>
      <x:c r="C11" s="60" t="str">
        <x:v>hu2026lying_truths</x:v>
      </x:c>
      <x:c r="D11" s="60" t="str">
        <x:v>Lying with Truths: Open-Channel Multi-Agent Collusion for Belief Manipulation via Generative Montage</x:v>
      </x:c>
      <x:c r="E11" s="60" t="str"/>
      <x:c r="F11" s="60" t="str"/>
      <x:c r="G11" s="60" t="str">
        <x:v>ACL 2026, Outstanding Paper</x:v>
      </x:c>
      <x:c r="H11" s="60" t="str">
        <x:v>10.18653/v1/2026.acl-long.270</x:v>
      </x:c>
      <x:c r="I11" s="60" t="str">
        <x:v>https://aclanthology.org/2026.acl-long.270/</x:v>
      </x:c>
      <x:c r="J11" s="60" t="str">
        <x:v>Canonical ACL 2026 version confirmed. Metadata and title are correct.</x:v>
      </x:c>
      <x:c r="K11" s="60" t="str">
        <x:v>source_identity_reviewed</x:v>
      </x:c>
      <x:c r="L11" s="60" t="str">
        <x:v>A writer-editor-director coalition coordinates public, individually truthful fragments whose composition manipulates victim agents and downstream judges.</x:v>
      </x:c>
      <x:c r="M11" s="60" t="str">
        <x:v>core_security</x:v>
      </x:c>
      <x:c r="N11" s="60" t="str">
        <x:v>core_security</x:v>
      </x:c>
      <x:c r="O11" s="60" t="str">
        <x:v>A writer-editor-director coalition coordinates public, individually truthful fragments whose composition manipulates victim agents and downstream judges.</x:v>
      </x:c>
    </x:row>
    <x:row r="12">
      <x:c r="A12" s="60" t="n">
        <x:v>11</x:v>
      </x:c>
      <x:c r="B12" s="60" t="str">
        <x:v>load_bearing</x:v>
      </x:c>
      <x:c r="C12" s="60" t="str">
        <x:v>huang2026whispering_agents</x:v>
      </x:c>
      <x:c r="D12" s="60" t="str">
        <x:v>Whispering Agents: An Event-Driven Covert Communication Protocol for the Internet of Agents</x:v>
      </x:c>
      <x:c r="E12" s="60" t="str"/>
      <x:c r="F12" s="60" t="str"/>
      <x:c r="G12" s="60" t="str">
        <x:v>AAAI 2026, pp. 31185 to 31192</x:v>
      </x:c>
      <x:c r="H12" s="60" t="str">
        <x:v>10.1609/aaai.v40i37.40380</x:v>
      </x:c>
      <x:c r="I12" s="60" t="str">
        <x:v>https://ojs.aaai.org/index.php/AAAI/article/view/40380</x:v>
      </x:c>
      <x:c r="J12" s="60" t="str">
        <x:v>Canonical AAAI version confirmed. The OJS display contains the grammatical title variant 'A Event-Driven'; use the PDF title 'An Event-Driven' as canonical and record the metadata discrepancy.</x:v>
      </x:c>
      <x:c r="K12" s="60" t="str">
        <x:v>source_identity_reviewed</x:v>
      </x:c>
      <x:c r="L12" s="60" t="str">
        <x:v>It is a dual-use covert communication protocol for paired agents. It directly informs covert coordination and observer scope but is not inherently a malicious attack or evidence of spontaneous collusion.</x:v>
      </x:c>
      <x:c r="M12" s="60" t="str">
        <x:v>core_security</x:v>
      </x:c>
      <x:c r="N12" s="60" t="str">
        <x:v>security_relevant</x:v>
      </x:c>
      <x:c r="O12" s="60" t="str">
        <x:v>It is a dual-use covert communication protocol for paired agents. It directly informs covert coordination and observer scope but is not inherently a malicious attack or evidence of spontaneous collusion.</x:v>
      </x:c>
    </x:row>
    <x:row r="13">
      <x:c r="A13" s="60" t="n">
        <x:v>12</x:v>
      </x:c>
      <x:c r="B13" s="60" t="str">
        <x:v>load_bearing</x:v>
      </x:c>
      <x:c r="C13" s="60" t="str">
        <x:v>wang2026masleak</x:v>
      </x:c>
      <x:c r="D13" s="60" t="str">
        <x:v>MASLeak: Investigating and Exposing Intellectual Property Leakage Vulnerabilities in Multi-Agent Systems</x:v>
      </x:c>
      <x:c r="E13" s="60" t="str"/>
      <x:c r="F13" s="60" t="str"/>
      <x:c r="G13" s="60" t="str">
        <x:v>USENIX Security 2026</x:v>
      </x:c>
      <x:c r="H13" s="60" t="str">
        <x:v>Not reported</x:v>
      </x:c>
      <x:c r="I13" s="60" t="str">
        <x:v>https://www.usenix.org/conference/usenixsecurity26/presentation/wang-liwen</x:v>
      </x:c>
      <x:c r="J13" s="60" t="str">
        <x:v>The USENIX title is canonical. The arXiv version has a different title and should be linked as the same work. The current note incorrectly states that no open-access copy exists; an arXiv full text is available.</x:v>
      </x:c>
      <x:c r="K13" s="60" t="str">
        <x:v>source_identity_reviewed</x:v>
      </x:c>
      <x:c r="L13" s="60" t="str">
        <x:v>A black-box user extracts agent count, topology, prompts, task instructions, and tools from an internal multi-agent architecture through its public API.</x:v>
      </x:c>
      <x:c r="M13" s="60" t="str">
        <x:v>core_security</x:v>
      </x:c>
      <x:c r="N13" s="60" t="str">
        <x:v>core_security</x:v>
      </x:c>
      <x:c r="O13" s="60" t="str">
        <x:v>A black-box user extracts agent count, topology, prompts, task instructions, and tools from an internal multi-agent architecture through its public API.</x:v>
      </x:c>
    </x:row>
    <x:row r="14">
      <x:c r="A14" s="60" t="n">
        <x:v>13</x:v>
      </x:c>
      <x:c r="B14" s="60" t="str">
        <x:v>load_bearing</x:v>
      </x:c>
      <x:c r="C14" s="60" t="str">
        <x:v>liu2026topology_memory</x:v>
      </x:c>
      <x:c r="D14" s="60" t="str">
        <x:v>Topology Matters: Measuring Memory Leakage in Multi-Agent LLMs</x:v>
      </x:c>
      <x:c r="E14" s="60" t="str"/>
      <x:c r="F14" s="60" t="str"/>
      <x:c r="G14" s="60" t="str">
        <x:v>Findings of ACL 2026</x:v>
      </x:c>
      <x:c r="H14" s="60" t="str">
        <x:v>10.18653/v1/2026.findings-acl.1980</x:v>
      </x:c>
      <x:c r="I14" s="60" t="str">
        <x:v>https://aclanthology.org/2026.findings-acl.1980/</x:v>
      </x:c>
      <x:c r="J14" s="60" t="str">
        <x:v>Canonical Findings of ACL 2026 version confirmed. Metadata is correct.</x:v>
      </x:c>
      <x:c r="K14" s="60" t="str">
        <x:v>source_identity_reviewed</x:v>
      </x:c>
      <x:c r="L14" s="60" t="str">
        <x:v>Private memory originates at one agent and reaches an unauthorized member only through topology-conditioned communication and memory updates.</x:v>
      </x:c>
      <x:c r="M14" s="60" t="str">
        <x:v>core_security</x:v>
      </x:c>
      <x:c r="N14" s="60" t="str">
        <x:v>core_security</x:v>
      </x:c>
      <x:c r="O14" s="60" t="str">
        <x:v>Private memory originates at one agent and reaches an unauthorized member only through topology-conditioned communication and memory updates.</x:v>
      </x:c>
    </x:row>
    <x:row r="15">
      <x:c r="A15" s="60" t="n">
        <x:v>14</x:v>
      </x:c>
      <x:c r="B15" s="60" t="str">
        <x:v>load_bearing</x:v>
      </x:c>
      <x:c r="C15" s="60" t="str">
        <x:v>he2025communication_attacks</x:v>
      </x:c>
      <x:c r="D15" s="60" t="str">
        <x:v>Red-Teaming LLM Multi-Agent Systems via Communication Attacks</x:v>
      </x:c>
      <x:c r="E15" s="60" t="str"/>
      <x:c r="F15" s="60" t="str"/>
      <x:c r="G15" s="60" t="str">
        <x:v>Findings of ACL 2025</x:v>
      </x:c>
      <x:c r="H15" s="60" t="str">
        <x:v>10.18653/v1/2025.findings-acl.349</x:v>
      </x:c>
      <x:c r="I15" s="60" t="str">
        <x:v>https://aclanthology.org/2025.findings-acl.349/</x:v>
      </x:c>
      <x:c r="J15" s="60" t="str">
        <x:v>Canonical Findings of ACL 2025 version confirmed. Metadata is correct.</x:v>
      </x:c>
      <x:c r="K15" s="60" t="str">
        <x:v>source_identity_reviewed</x:v>
      </x:c>
      <x:c r="L15" s="60" t="str">
        <x:v>The attack changes only messages between agents while leaving endpoint models uncompromised.</x:v>
      </x:c>
      <x:c r="M15" s="60" t="str">
        <x:v>core_security</x:v>
      </x:c>
      <x:c r="N15" s="60" t="str">
        <x:v>core_security</x:v>
      </x:c>
      <x:c r="O15" s="60" t="str">
        <x:v>The attack changes only messages between agents while leaving endpoint models uncompromised.</x:v>
      </x:c>
    </x:row>
    <x:row r="16">
      <x:c r="A16" s="60" t="n">
        <x:v>15</x:v>
      </x:c>
      <x:c r="B16" s="60" t="str">
        <x:v>load_bearing</x:v>
      </x:c>
      <x:c r="C16" s="60" t="str">
        <x:v>liu2025collective_manipulation</x:v>
      </x:c>
      <x:c r="D16" s="60" t="str">
        <x:v>Can an Individual Manipulate the Collective Decisions of Multi-Agents?</x:v>
      </x:c>
      <x:c r="E16" s="60" t="str"/>
      <x:c r="F16" s="60" t="str"/>
      <x:c r="G16" s="60" t="str">
        <x:v>EMNLP 2025</x:v>
      </x:c>
      <x:c r="H16" s="60" t="str">
        <x:v>10.18653/v1/2025.emnlp-main.611</x:v>
      </x:c>
      <x:c r="I16" s="60" t="str">
        <x:v>https://aclanthology.org/2025.emnlp-main.611/</x:v>
      </x:c>
      <x:c r="J16" s="60" t="str">
        <x:v>Canonical EMNLP 2025 version confirmed. Metadata is correct.</x:v>
      </x:c>
      <x:c r="K16" s="60" t="str">
        <x:v>source_identity_reviewed</x:v>
      </x:c>
      <x:c r="L16" s="60" t="str">
        <x:v>The attacker manipulates one known member and optimizes for a change in the collective decision under incomplete information about the rest of the group.</x:v>
      </x:c>
      <x:c r="M16" s="60" t="str">
        <x:v>core_security</x:v>
      </x:c>
      <x:c r="N16" s="60" t="str">
        <x:v>core_security</x:v>
      </x:c>
      <x:c r="O16" s="60" t="str">
        <x:v>The attacker manipulates one known member and optimizes for a change in the collective decision under incomplete information about the rest of the group.</x:v>
      </x:c>
    </x:row>
    <x:row r="17">
      <x:c r="A17" s="60" t="n">
        <x:v>16</x:v>
      </x:c>
      <x:c r="B17" s="60" t="str">
        <x:v>load_bearing</x:v>
      </x:c>
      <x:c r="C17" s="60" t="str">
        <x:v>zheng2026byzantine_reliability</x:v>
      </x:c>
      <x:c r="D17" s="60" t="str">
        <x:v>Rethinking the Reliability of Multi-agent System: A Perspective from Byzantine Fault Tolerance</x:v>
      </x:c>
      <x:c r="E17" s="60" t="str"/>
      <x:c r="F17" s="60" t="str"/>
      <x:c r="G17" s="60" t="str">
        <x:v>AAAI 2026, pp. 35012 to 35020</x:v>
      </x:c>
      <x:c r="H17" s="60" t="str">
        <x:v>10.1609/aaai.v40i41.40806</x:v>
      </x:c>
      <x:c r="I17" s="60" t="str">
        <x:v>https://ojs.aaai.org/index.php/AAAI/article/view/40806</x:v>
      </x:c>
      <x:c r="J17" s="60" t="str">
        <x:v>Canonical AAAI title uses singular 'System'. The current record should match the OJS and PDF title exactly.</x:v>
      </x:c>
      <x:c r="K17" s="60" t="str">
        <x:v>source_identity_reviewed</x:v>
      </x:c>
      <x:c r="L17" s="60" t="str">
        <x:v>Faulty members inject wrong answers through graph edges and a collective procedure aggregates them; the effect depends on fault count, placement, topology, and aggregation.</x:v>
      </x:c>
      <x:c r="M17" s="60" t="str">
        <x:v>core_security</x:v>
      </x:c>
      <x:c r="N17" s="60" t="str">
        <x:v>core_security</x:v>
      </x:c>
      <x:c r="O17" s="60" t="str">
        <x:v>Faulty members inject wrong answers through graph edges and a collective procedure aggregates them; the effect depends on fault count, placement, topology, and aggregation.</x:v>
      </x:c>
    </x:row>
    <x:row r="18">
      <x:c r="A18" s="60" t="n">
        <x:v>17</x:v>
      </x:c>
      <x:c r="B18" s="60" t="str">
        <x:v>load_bearing</x:v>
      </x:c>
      <x:c r="C18" s="60" t="str">
        <x:v>triedman2025malicious_code</x:v>
      </x:c>
      <x:c r="D18" s="60" t="str">
        <x:v>Multi-Agent Systems Execute Arbitrary Malicious Code</x:v>
      </x:c>
      <x:c r="E18" s="60" t="str"/>
      <x:c r="F18" s="60" t="str"/>
      <x:c r="G18" s="60" t="str">
        <x:v>COLM 2025</x:v>
      </x:c>
      <x:c r="H18" s="60" t="str">
        <x:v>Not reported</x:v>
      </x:c>
      <x:c r="I18" s="60" t="str">
        <x:v>https://openreview.net/forum?id=DAozI4etUp</x:v>
      </x:c>
      <x:c r="J18" s="60" t="str">
        <x:v>Published COLM 2025 record and arXiv version lineage confirmed. Use the conference record as canonical.</x:v>
      </x:c>
      <x:c r="K18" s="60" t="str">
        <x:v>source_identity_reviewed</x:v>
      </x:c>
      <x:c r="L18" s="60" t="str">
        <x:v>Untrusted content hijacks multi-agent control flow and routing to invoke otherwise unreachable unsafe agents or functions.</x:v>
      </x:c>
      <x:c r="M18" s="60" t="str">
        <x:v>core_security</x:v>
      </x:c>
      <x:c r="N18" s="60" t="str">
        <x:v>core_security</x:v>
      </x:c>
      <x:c r="O18" s="60" t="str">
        <x:v>Untrusted content hijacks multi-agent control flow and routing to invoke otherwise unreachable unsafe agents or functions.</x:v>
      </x:c>
    </x:row>
    <x:row r="19">
      <x:c r="A19" s="60" t="n">
        <x:v>18</x:v>
      </x:c>
      <x:c r="B19" s="60" t="str">
        <x:v>load_bearing</x:v>
      </x:c>
      <x:c r="C19" s="60" t="str">
        <x:v>arif2026conjunctive</x:v>
      </x:c>
      <x:c r="D19" s="60" t="str">
        <x:v>Conjunctive Prompt Attacks in Multi-Agent LLM Systems</x:v>
      </x:c>
      <x:c r="E19" s="60" t="str"/>
      <x:c r="F19" s="60" t="str"/>
      <x:c r="G19" s="60" t="str">
        <x:v>ACL 2026</x:v>
      </x:c>
      <x:c r="H19" s="60" t="str">
        <x:v>10.18653/v1/2026.acl-long.1577</x:v>
      </x:c>
      <x:c r="I19" s="60" t="str">
        <x:v>https://aclanthology.org/2026.acl-long.1577/</x:v>
      </x:c>
      <x:c r="J19" s="60" t="str">
        <x:v>Canonical ACL 2026 version confirmed. Metadata is correct.</x:v>
      </x:c>
      <x:c r="K19" s="60" t="str">
        <x:v>source_identity_reviewed</x:v>
      </x:c>
      <x:c r="L19" s="60" t="str">
        <x:v>A user trigger and a compromised remote-agent template are benign in isolation and become harmful only when routing composes them.</x:v>
      </x:c>
      <x:c r="M19" s="60" t="str">
        <x:v>core_security</x:v>
      </x:c>
      <x:c r="N19" s="60" t="str">
        <x:v>core_security</x:v>
      </x:c>
      <x:c r="O19" s="60" t="str">
        <x:v>A user trigger and a compromised remote-agent template are benign in isolation and become harmful only when routing composes them.</x:v>
      </x:c>
    </x:row>
    <x:row r="20">
      <x:c r="A20" s="60" t="n">
        <x:v>19</x:v>
      </x:c>
      <x:c r="B20" s="60" t="str">
        <x:v>load_bearing</x:v>
      </x:c>
      <x:c r="C20" s="60" t="str">
        <x:v>zhao2026parasites</x:v>
      </x:c>
      <x:c r="D20" s="60" t="str">
        <x:v>Parasites in the Toolchain: A Large-Scale Analysis of Attacks on the MCP Ecosystem</x:v>
      </x:c>
      <x:c r="E20" s="60" t="str"/>
      <x:c r="F20" s="60" t="str"/>
      <x:c r="G20" s="60" t="str">
        <x:v>IEEE Symposium on Security and Privacy 2026, pp. 138 to 155</x:v>
      </x:c>
      <x:c r="H20" s="60" t="str">
        <x:v>10.1109/SP63933.2026.00154</x:v>
      </x:c>
      <x:c r="I20" s="60" t="str">
        <x:v>https://arxiv.org/abs/2509.06572</x:v>
      </x:c>
      <x:c r="J20" s="60" t="str">
        <x:v>Accepted and published at IEEE S&amp;P 2026. Replace the arXiv-only venue record with final IEEE proceedings metadata while keeping the accepted arXiv version linked.</x:v>
      </x:c>
      <x:c r="K20" s="60" t="str">
        <x:v>source_identity_reviewed</x:v>
      </x:c>
      <x:c r="L20" s="60" t="str">
        <x:v>The system is one LLM host composing multiple MCP servers and tools. It is directly relevant to distributed capability composition but does not necessarily contain multiple independently stateful LLM agent cores.</x:v>
      </x:c>
      <x:c r="M20" s="60" t="str">
        <x:v>core_security</x:v>
      </x:c>
      <x:c r="N20" s="60" t="str">
        <x:v>security_relevant</x:v>
      </x:c>
      <x:c r="O20" s="60" t="str">
        <x:v>The system is one LLM host composing multiple MCP servers and tools. It is directly relevant to distributed capability composition but does not necessarily contain multiple independently stateful LLM agent cores.</x:v>
      </x:c>
    </x:row>
    <x:row r="21">
      <x:c r="A21" s="60" t="n">
        <x:v>20</x:v>
      </x:c>
      <x:c r="B21" s="60" t="str">
        <x:v>load_bearing</x:v>
      </x:c>
      <x:c r="C21" s="60" t="str">
        <x:v>li2026a2asecbench</x:v>
      </x:c>
      <x:c r="D21" s="60" t="str">
        <x:v>A2ASecBench: A Protocol-Aware Security Benchmark for Agent-to-Agent Multi-Agent Systems</x:v>
      </x:c>
      <x:c r="E21" s="60" t="str"/>
      <x:c r="F21" s="60" t="str"/>
      <x:c r="G21" s="60" t="str">
        <x:v>ICLR 2026</x:v>
      </x:c>
      <x:c r="H21" s="60" t="str">
        <x:v>Not reported</x:v>
      </x:c>
      <x:c r="I21" s="60" t="str">
        <x:v>https://iclr.cc/virtual/2026/poster/10010017</x:v>
      </x:c>
      <x:c r="J21" s="60" t="str">
        <x:v>Official ICLR program and project repository confirm title, authors, and ICLR 2026 status. No DOI is reported. The full OpenReview PDF was not reliably retrievable during this audit, so exact page and table locators remain pending.</x:v>
      </x:c>
      <x:c r="K21" s="60" t="str">
        <x:v>blocked_exact_source</x:v>
      </x:c>
      <x:c r="L21" s="60" t="str">
        <x:v>The benchmark targets heterogeneous client and remote agents communicating through the A2A protocol across discovery, task state, requests, and artifacts.</x:v>
      </x:c>
      <x:c r="M21" s="60" t="str">
        <x:v>core_security</x:v>
      </x:c>
      <x:c r="N21" s="60" t="str">
        <x:v>core_security</x:v>
      </x:c>
      <x:c r="O21" s="60" t="str">
        <x:v>The benchmark targets heterogeneous client and remote agents communicating through the A2A protocol across discovery, task state, requests, and artifacts.</x:v>
      </x:c>
    </x:row>
    <x:row r="22">
      <x:c r="A22" s="60" t="n">
        <x:v>21</x:v>
      </x:c>
      <x:c r="B22" s="60" t="str">
        <x:v>standard_attack</x:v>
      </x:c>
      <x:c r="C22" s="60" t="str">
        <x:v>zhang2024psysafe</x:v>
      </x:c>
      <x:c r="D22" s="60" t="str">
        <x:v>PsySafe: A Comprehensive Framework for Psychological-based Attack, Defense, and Evaluation of Multi-agent System Safety</x:v>
      </x:c>
      <x:c r="E22" s="60" t="str">
        <x:v>Zaibin Zhang; Yongting Zhang; Lijun Li; Hongzhi Gao; Lijun Wang; Huchuan Lu; Feng Zhao; Yu Qiao; Jing Shao</x:v>
      </x:c>
      <x:c r="F22" s="60" t="str">
        <x:v>2024</x:v>
      </x:c>
      <x:c r="G22" s="60" t="str">
        <x:v>ACL 2024, Long Papers</x:v>
      </x:c>
      <x:c r="H22" s="60" t="str">
        <x:v>10.18653/v1/2024.acl-long.812</x:v>
      </x:c>
      <x:c r="I22" s="60" t="str">
        <x:v>https://aclanthology.org/2024.acl-long.812/</x:v>
      </x:c>
      <x:c r="J22" s="60" t="str">
        <x:v>Published archival ACL version; use ACL PDF as canonical.</x:v>
      </x:c>
      <x:c r="K22" s="60" t="str">
        <x:v>Verified. Queue title omitted the comma after Attack; canonical ACL title includes “Attack, Defense, and Evaluation”.</x:v>
      </x:c>
      <x:c r="L22" s="60" t="str">
        <x:v>Yes. Evaluates separately prompted agent roles in Camel, AutoGen, MetaGPT, and AutoGPT with multi-round interaction.</x:v>
      </x:c>
      <x:c r="M22" s="60" t="str">
        <x:v>core_security</x:v>
      </x:c>
      <x:c r="N22" s="60" t="str">
        <x:v>security_relevant</x:v>
      </x:c>
      <x:c r="O22" s="60" t="str">
        <x:v>Interaction and collective danger are central, but the paper primarily studies broad psychological safety and role-prompt effects rather than a narrowly defined technical security property.</x:v>
      </x:c>
    </x:row>
    <x:row r="23">
      <x:c r="A23" s="60" t="n">
        <x:v>22</x:v>
      </x:c>
      <x:c r="B23" s="60" t="str">
        <x:v>standard_attack</x:v>
      </x:c>
      <x:c r="C23" s="60" t="str">
        <x:v>amayuelas2024collaboration_attack</x:v>
      </x:c>
      <x:c r="D23" s="60" t="str">
        <x:v>MultiAgent Collaboration Attack: Investigating Adversarial Attacks in Large Language Model Collaborations via Debate</x:v>
      </x:c>
      <x:c r="E23" s="60" t="str">
        <x:v>Alfonso Amayuelas; Xianjun Yang; Antonis Antoniades; Wenyue Hua; Liangming Pan; William Yang Wang</x:v>
      </x:c>
      <x:c r="F23" s="60" t="str">
        <x:v>2024</x:v>
      </x:c>
      <x:c r="G23" s="60" t="str">
        <x:v>Findings of EMNLP 2024</x:v>
      </x:c>
      <x:c r="H23" s="60" t="str">
        <x:v>10.18653/v1/2024.findings-emnlp.407</x:v>
      </x:c>
      <x:c r="I23" s="60" t="str">
        <x:v>https://aclanthology.org/2024.findings-emnlp.407/</x:v>
      </x:c>
      <x:c r="J23" s="60" t="str">
        <x:v>Published archival Findings version; canonical.</x:v>
      </x:c>
      <x:c r="K23" s="60" t="str">
        <x:v>Verified.</x:v>
      </x:c>
      <x:c r="L23" s="60" t="str">
        <x:v>Yes. Multiple independently instantiated LLMs answer, exchange responses, and revise over debate rounds.</x:v>
      </x:c>
      <x:c r="M23" s="60" t="str">
        <x:v>core_security</x:v>
      </x:c>
      <x:c r="N23" s="60" t="str">
        <x:v>core_security</x:v>
      </x:c>
      <x:c r="O23" s="60" t="str">
        <x:v>A malicious member exploits inter-agent debate to manipulate the aggregate decision; the failure is interaction-dependent.</x:v>
      </x:c>
    </x:row>
    <x:row r="24">
      <x:c r="A24" s="60" t="n">
        <x:v>23</x:v>
      </x:c>
      <x:c r="B24" s="60" t="str">
        <x:v>standard_attack</x:v>
      </x:c>
      <x:c r="C24" s="60" t="str">
        <x:v>khan2025agents_under_siege</x:v>
      </x:c>
      <x:c r="D24" s="60" t="str">
        <x:v>Agents Under Siege: Breaking Pragmatic Multi-Agent LLM Systems with Optimized Prompt Attacks</x:v>
      </x:c>
      <x:c r="E24" s="60" t="str">
        <x:v>Rana Shahroz; Zhen Tan; Sukwon Yun; Charles Fleming; Tianlong Chen</x:v>
      </x:c>
      <x:c r="F24" s="60" t="str">
        <x:v>2025</x:v>
      </x:c>
      <x:c r="G24" s="60" t="str">
        <x:v>ACL 2025, Long Papers</x:v>
      </x:c>
      <x:c r="H24" s="60" t="str">
        <x:v>10.18653/v1/2025.acl-long.476</x:v>
      </x:c>
      <x:c r="I24" s="60" t="str">
        <x:v>https://aclanthology.org/2025.acl-long.476/</x:v>
      </x:c>
      <x:c r="J24" s="60" t="str">
        <x:v>Published archival ACL version; canonical.</x:v>
      </x:c>
      <x:c r="K24" s="60" t="str">
        <x:v>Verified.</x:v>
      </x:c>
      <x:c r="L24" s="60" t="str">
        <x:v>Yes in the paper’s graph abstraction: LLM vertices communicate over bandwidth/latency-constrained edges and chunks traverse the network.</x:v>
      </x:c>
      <x:c r="M24" s="60" t="str">
        <x:v>core_security</x:v>
      </x:c>
      <x:c r="N24" s="60" t="str">
        <x:v>core_security</x:v>
      </x:c>
      <x:c r="O24" s="60" t="str">
        <x:v>Attack success depends on graph routing, edge bandwidth, latency/permutation, and distributed safety placement.</x:v>
      </x:c>
    </x:row>
    <x:row r="25">
      <x:c r="A25" s="60" t="n">
        <x:v>24</x:v>
      </x:c>
      <x:c r="B25" s="60" t="str">
        <x:v>standard_attack</x:v>
      </x:c>
      <x:c r="C25" s="60" t="str">
        <x:v>peigne2025security_tax</x:v>
      </x:c>
      <x:c r="D25" s="60" t="str">
        <x:v>Multi-Agent Security Tax: Trading Off Security and Collaboration Capabilities in Multi-Agent Systems</x:v>
      </x:c>
      <x:c r="E25" s="60" t="str">
        <x:v>Pierre Peigné; Mikolaj Kniejski; Filip Sondej; Matthieu David; Jason Hoelscher-Obermaier; Christian Schroeder de Witt; Esben Kran</x:v>
      </x:c>
      <x:c r="F25" s="60" t="str">
        <x:v>2025</x:v>
      </x:c>
      <x:c r="G25" s="60" t="str">
        <x:v>AAAI 2025, Special Track on AI Alignment</x:v>
      </x:c>
      <x:c r="H25" s="60" t="str">
        <x:v>10.1609/aaai.v39i26.34970</x:v>
      </x:c>
      <x:c r="I25" s="60" t="str">
        <x:v>https://ojs.aaai.org/index.php/AAAI/article/view/34970</x:v>
      </x:c>
      <x:c r="J25" s="60" t="str">
        <x:v>Published AAAI version; arXiv v2 is an expanded accessible version. Use proceedings metadata and reconcile author-name rendering with PDF.</x:v>
      </x:c>
      <x:c r="K25" s="60" t="str">
        <x:v>Verified with one metadata normalization issue: arXiv indexes the first author as Pierre Peigne-Lefebvre while the AAAI PDF/proceedings render Pierre Peigné.</x:v>
      </x:c>
      <x:c r="L25" s="60" t="str">
        <x:v>Yes. Seven role-specific agents exchange asynchronous messages and can execute code.</x:v>
      </x:c>
      <x:c r="M25" s="60" t="str">
        <x:v>core_security</x:v>
      </x:c>
      <x:c r="N25" s="60" t="str">
        <x:v>core_security</x:v>
      </x:c>
      <x:c r="O25" s="60" t="str">
        <x:v>A compromise of one member propagates malicious instructions through the interaction graph and can trigger a harmful tool action.</x:v>
      </x:c>
    </x:row>
    <x:row r="26">
      <x:c r="A26" s="60" t="n">
        <x:v>25</x:v>
      </x:c>
      <x:c r="B26" s="60" t="str">
        <x:v>standard_attack</x:v>
      </x:c>
      <x:c r="C26" s="60" t="str">
        <x:v>zhang2025allies_foes</x:v>
      </x:c>
      <x:c r="D26" s="60" t="str">
        <x:v>When Allies Turn Foes: Exploring Group Characteristics of LLM-Based Multi-Agent Collaborative Systems Under Adversarial Attacks</x:v>
      </x:c>
      <x:c r="E26" s="60" t="str">
        <x:v>Jiahao Zhang; Baoshuo Kan; Tao Gong; Fu Lee Wang; Tianyong Hao</x:v>
      </x:c>
      <x:c r="F26" s="60" t="str">
        <x:v>2025</x:v>
      </x:c>
      <x:c r="G26" s="60" t="str">
        <x:v>Findings of EMNLP 2025</x:v>
      </x:c>
      <x:c r="H26" s="60" t="str">
        <x:v>10.18653/v1/2025.findings-emnlp.333</x:v>
      </x:c>
      <x:c r="I26" s="60" t="str">
        <x:v>https://aclanthology.org/2025.findings-emnlp.333/</x:v>
      </x:c>
      <x:c r="J26" s="60" t="str">
        <x:v>Published archival Findings of EMNLP version; use ACL PDF as canonical.</x:v>
      </x:c>
      <x:c r="K26" s="60" t="str">
        <x:v>Verified against ACL Anthology and PDF.</x:v>
      </x:c>
      <x:c r="L26" s="60" t="str">
        <x:v>Yes. Independently responding collaborative and adversarial agents exchange full response histories over multiple rounds under three communication schedules.</x:v>
      </x:c>
      <x:c r="M26" s="60" t="str">
        <x:v>core_security</x:v>
      </x:c>
      <x:c r="N26" s="60" t="str">
        <x:v>core_security</x:v>
      </x:c>
      <x:c r="O26" s="60" t="str">
        <x:v>The primary question is adversarial-member influence on group decisions, and the failure depends on inter-agent deliberation.</x:v>
      </x:c>
    </x:row>
    <x:row r="27">
      <x:c r="A27" s="60" t="n">
        <x:v>26</x:v>
      </x:c>
      <x:c r="B27" s="60" t="str">
        <x:v>standard_attack</x:v>
      </x:c>
      <x:c r="C27" s="60" t="str">
        <x:v>zhu2025master</x:v>
      </x:c>
      <x:c r="D27" s="60" t="str">
        <x:v>MASTER: Multi-Agent Security Through Exploration of Roles and Topological Structures - A Comprehensive Framework</x:v>
      </x:c>
      <x:c r="E27" s="60" t="str">
        <x:v>Yifan Zhu; Chao Zhang; Xin Shi; Xueqiao Zhang; Yi Yang; Yawei Luo</x:v>
      </x:c>
      <x:c r="F27" s="60" t="str">
        <x:v>2025</x:v>
      </x:c>
      <x:c r="G27" s="60" t="str">
        <x:v>Findings of EMNLP 2025</x:v>
      </x:c>
      <x:c r="H27" s="60" t="str">
        <x:v>10.18653/v1/2025.findings-emnlp.917</x:v>
      </x:c>
      <x:c r="I27" s="60" t="str">
        <x:v>https://aclanthology.org/2025.findings-emnlp.917/</x:v>
      </x:c>
      <x:c r="J27" s="60" t="str">
        <x:v>Published archival Findings of EMNLP version; use ACL PDF as canonical.</x:v>
      </x:c>
      <x:c r="K27" s="60" t="str">
        <x:v>Verified against ACL Anthology.</x:v>
      </x:c>
      <x:c r="L27" s="60" t="str">
        <x:v>Yes. The framework constructs role-distinct agents connected by directed information-flow topologies and attacks their coordinated execution.</x:v>
      </x:c>
      <x:c r="M27" s="60" t="str">
        <x:v>core_security</x:v>
      </x:c>
      <x:c r="N27" s="60" t="str">
        <x:v>core_security</x:v>
      </x:c>
      <x:c r="O27" s="60" t="str">
        <x:v>Role and topology reconnaissance, adaptive attack assignment, and harmful cooperation are explicitly interaction dependent.</x:v>
      </x:c>
    </x:row>
    <x:row r="28">
      <x:c r="A28" s="60" t="n">
        <x:v>27</x:v>
      </x:c>
      <x:c r="B28" s="60" t="str">
        <x:v>standard_attack</x:v>
      </x:c>
      <x:c r="C28" s="60" t="str">
        <x:v>zhang2025breaking_agents</x:v>
      </x:c>
      <x:c r="D28" s="60" t="str">
        <x:v>Breaking Agents: Compromising Autonomous LLM Agents Through Malfunction Amplification</x:v>
      </x:c>
      <x:c r="E28" s="60" t="str">
        <x:v>Boyang Zhang; Yicong Tan; Yun Shen; Ahmed Salem; Michael Backes; Savvas Zannettou; Yang Zhang</x:v>
      </x:c>
      <x:c r="F28" s="60" t="str">
        <x:v>2025</x:v>
      </x:c>
      <x:c r="G28" s="60" t="str">
        <x:v>EMNLP 2025</x:v>
      </x:c>
      <x:c r="H28" s="60" t="str">
        <x:v>10.18653/v1/2025.emnlp-main.1771</x:v>
      </x:c>
      <x:c r="I28" s="60" t="str">
        <x:v>https://aclanthology.org/2025.emnlp-main.1771/</x:v>
      </x:c>
      <x:c r="J28" s="60" t="str">
        <x:v>Published archival EMNLP version; use ACL PDF as canonical.</x:v>
      </x:c>
      <x:c r="K28" s="60" t="str">
        <x:v>Verified against ACL Anthology/PDF.</x:v>
      </x:c>
      <x:c r="L28" s="60" t="str">
        <x:v>Partly. Most of the paper evaluates single autonomous agents; a dedicated advanced-attack subsection uses separately instantiated Gmail and CSV agents in same-type and chain workflows.</x:v>
      </x:c>
      <x:c r="M28" s="60" t="str">
        <x:v>core_security</x:v>
      </x:c>
      <x:c r="N28" s="60" t="str">
        <x:v>security_relevant</x:v>
      </x:c>
      <x:c r="O28" s="60" t="str">
        <x:v>The attack primitive is general agent malfunction. Only the advanced viral cases are interaction-dependent and should enter the MAS claim corpus.</x:v>
      </x:c>
    </x:row>
    <x:row r="29">
      <x:c r="A29" s="60" t="n">
        <x:v>28</x:v>
      </x:c>
      <x:c r="B29" s="60" t="str">
        <x:v>standard_attack</x:v>
      </x:c>
      <x:c r="C29" s="60" t="str">
        <x:v>yan2026evo_attacker</x:v>
      </x:c>
      <x:c r="D29" s="60" t="str">
        <x:v>Evo-Attacker: Memory-Augmented Reinforcement Learning for Long-Horizon Tool Attacks on LLM-MAS</x:v>
      </x:c>
      <x:c r="E29" s="60" t="str">
        <x:v>Bingyu Yan; Xiaoming Zhang; Jinyu Hou; Chaozhuo Li; Ziyi Zhou; Yiming Hei; Litian Zhang</x:v>
      </x:c>
      <x:c r="F29" s="60" t="str">
        <x:v>2026</x:v>
      </x:c>
      <x:c r="G29" s="60" t="str">
        <x:v>ACL 2026</x:v>
      </x:c>
      <x:c r="H29" s="60" t="str">
        <x:v>10.18653/v1/2026.acl-long.330</x:v>
      </x:c>
      <x:c r="I29" s="60" t="str">
        <x:v>https://aclanthology.org/2026.acl-long.330/</x:v>
      </x:c>
      <x:c r="J29" s="60" t="str">
        <x:v>Published archival ACL version.</x:v>
      </x:c>
      <x:c r="K29" s="60" t="str">
        <x:v>Verified against ACL Anthology/PDF; normalize Jinyu capitalization.</x:v>
      </x:c>
      <x:c r="L29" s="60" t="str">
        <x:v>Yes. A graph-structured MAS with flat, chain, and hierarchical communication is attacked through one agent’s tool-return channel, and local perturbations affect downstream collaboration.</x:v>
      </x:c>
      <x:c r="M29" s="60" t="str">
        <x:v>core_security</x:v>
      </x:c>
      <x:c r="N29" s="60" t="str">
        <x:v>core_security</x:v>
      </x:c>
      <x:c r="O29" s="60" t="str">
        <x:v>The threat model and evaluated consequence explicitly depend on a multi-round MAS execution trace and communication architecture.</x:v>
      </x:c>
    </x:row>
    <x:row r="30">
      <x:c r="A30" s="60" t="n">
        <x:v>29</x:v>
      </x:c>
      <x:c r="B30" s="60" t="str">
        <x:v>standard_attack</x:v>
      </x:c>
      <x:c r="C30" s="60" t="str">
        <x:v>yan2026mast</x:v>
      </x:c>
      <x:c r="D30" s="60" t="str">
        <x:v>Attack the Messages, Not the Agents: A Multi-round Adaptive Stealthy Tampering Framework for LLM-MAS</x:v>
      </x:c>
      <x:c r="E30" s="60" t="str">
        <x:v>Bingyu Yan; Xiaoming Zhang; Ziyi Zhou; Chaozhuo Li; Ruilin Zeng; Yirui Qi; Tianbo Wang; Litian Zhang</x:v>
      </x:c>
      <x:c r="F30" s="60" t="str">
        <x:v>2026</x:v>
      </x:c>
      <x:c r="G30" s="60" t="str">
        <x:v>AAAI 2026, Technical Track on Multiagent Systems</x:v>
      </x:c>
      <x:c r="H30" s="60" t="str">
        <x:v>10.1609/aaai.v40i35.40224</x:v>
      </x:c>
      <x:c r="I30" s="60" t="str">
        <x:v>https://ojs.aaai.org/index.php/AAAI/article/view/40224</x:v>
      </x:c>
      <x:c r="J30" s="60" t="str">
        <x:v>Published AAAI proceedings version.</x:v>
      </x:c>
      <x:c r="K30" s="60" t="str">
        <x:v>Verified against AAAI publisher page.</x:v>
      </x:c>
      <x:c r="L30" s="60" t="str">
        <x:v>Yes. The adversary rewrites in-transit messages over multiple rounds in flat, chain, and hierarchical MAS without modifying agent internals.</x:v>
      </x:c>
      <x:c r="M30" s="60" t="str">
        <x:v>core_security</x:v>
      </x:c>
      <x:c r="N30" s="60" t="str">
        <x:v>core_security</x:v>
      </x:c>
      <x:c r="O30" s="60" t="str">
        <x:v>The attack surface and outcome are explicitly inter-agent communication and collective task integrity.</x:v>
      </x:c>
    </x:row>
    <x:row r="31">
      <x:c r="A31" s="60" t="n">
        <x:v>30</x:v>
      </x:c>
      <x:c r="B31" s="60" t="str">
        <x:v>standard_attack</x:v>
      </x:c>
      <x:c r="C31" s="60" t="str">
        <x:v>wang2026shadows_code</x:v>
      </x:c>
      <x:c r="D31" s="60" t="str">
        <x:v>Shadows in the Code: Exploring the Risks and Defenses of LLM-based Multi-Agent Software Development Systems</x:v>
      </x:c>
      <x:c r="E31" s="60" t="str">
        <x:v>Xiaoqing Wang; Keman Huang; Bin Liang; Hongyu Li; Xiaoyong Du</x:v>
      </x:c>
      <x:c r="F31" s="60" t="str">
        <x:v>2026</x:v>
      </x:c>
      <x:c r="G31" s="60" t="str">
        <x:v>AAAI 2026</x:v>
      </x:c>
      <x:c r="H31" s="60" t="str">
        <x:v>10.1609/aaai.v40i44.41134</x:v>
      </x:c>
      <x:c r="I31" s="60" t="str">
        <x:v>https://ojs.aaai.org/index.php/AAAI/article/view/41134</x:v>
      </x:c>
      <x:c r="J31" s="60" t="str">
        <x:v>Published AAAI proceedings version.</x:v>
      </x:c>
      <x:c r="K31" s="60" t="str">
        <x:v>Metadata matches the AAAI publisher record and repository note; publisher page timed out during this pass, so final PDF signoff is still required.</x:v>
      </x:c>
      <x:c r="L31" s="60" t="str">
        <x:v>Yes. Distinct design, coding, and testing roles exchange software artifacts in ChatDev, MetaGPT, and AgentVerse.</x:v>
      </x:c>
      <x:c r="M31" s="60" t="str">
        <x:v>core_security</x:v>
      </x:c>
      <x:c r="N31" s="60" t="str">
        <x:v>core_security</x:v>
      </x:c>
      <x:c r="O31" s="60" t="str">
        <x:v>The attacks and defenses are localized to role agents and propagate through a multi-stage software workflow.</x:v>
      </x:c>
    </x:row>
    <x:row r="32">
      <x:c r="A32" s="60" t="n">
        <x:v>31</x:v>
      </x:c>
      <x:c r="B32" s="60" t="str">
        <x:v>standard_attack</x:v>
      </x:c>
      <x:c r="C32" s="60" t="str">
        <x:v>wu2026cia</x:v>
      </x:c>
      <x:c r="D32" s="60" t="str">
        <x:v>CIA: Inferring the Communication Topology from LLM-based Multi-Agent Systems</x:v>
      </x:c>
      <x:c r="E32" s="60" t="str">
        <x:v>Yongxuan Wu; Xixun Lin; He Zhang; Nan Sun; Kun Wang; Chuan Zhou; Shirui Pan; Yanan Cao</x:v>
      </x:c>
      <x:c r="F32" s="60" t="str">
        <x:v>2026</x:v>
      </x:c>
      <x:c r="G32" s="60" t="str">
        <x:v>ACL 2026</x:v>
      </x:c>
      <x:c r="H32" s="60" t="str">
        <x:v>10.18653/v1/2026.acl-long.815</x:v>
      </x:c>
      <x:c r="I32" s="60" t="str">
        <x:v>https://aclanthology.org/2026.acl-long.815/</x:v>
      </x:c>
      <x:c r="J32" s="60" t="str">
        <x:v>Published archival ACL version.</x:v>
      </x:c>
      <x:c r="K32" s="60" t="str">
        <x:v>Verified against ACL Anthology and PDF metadata.</x:v>
      </x:c>
      <x:c r="L32" s="60" t="str">
        <x:v>Yes. The protected object is a hidden inter-agent graph; the attack is undefined for one agent.</x:v>
      </x:c>
      <x:c r="M32" s="60" t="str">
        <x:v>core_security</x:v>
      </x:c>
      <x:c r="N32" s="60" t="str">
        <x:v>core_security</x:v>
      </x:c>
      <x:c r="O32" s="60" t="str">
        <x:v>Structural confidentiality of the communication topology is a native MAS property.</x:v>
      </x:c>
    </x:row>
    <x:row r="33">
      <x:c r="A33" s="60" t="n">
        <x:v>32</x:v>
      </x:c>
      <x:c r="B33" s="60" t="str">
        <x:v>standard_attack</x:v>
      </x:c>
      <x:c r="C33" s="60" t="str">
        <x:v>ko2026social_dynamics</x:v>
      </x:c>
      <x:c r="D33" s="60" t="str">
        <x:v>Social Dynamics as Critical Vulnerabilities that Undermine Objective Decision-Making in LLM Collectives</x:v>
      </x:c>
      <x:c r="E33" s="60" t="str">
        <x:v>Changgeon Ko; Jisu Shin; Hoyun Song; Huije Lee; Eui Jun Hwang; Jong C. Park</x:v>
      </x:c>
      <x:c r="F33" s="60" t="str">
        <x:v>2026</x:v>
      </x:c>
      <x:c r="G33" s="60" t="str">
        <x:v>ACL 2026</x:v>
      </x:c>
      <x:c r="H33" s="60" t="str">
        <x:v>10.18653/v1/2026.acl-long.1756</x:v>
      </x:c>
      <x:c r="I33" s="60" t="str">
        <x:v>https://aclanthology.org/2026.acl-long.1756/</x:v>
      </x:c>
      <x:c r="J33" s="60" t="str">
        <x:v>Published archival ACL version.</x:v>
      </x:c>
      <x:c r="K33" s="60" t="str">
        <x:v>Verified against ACL Anthology.</x:v>
      </x:c>
      <x:c r="L33" s="60" t="str">
        <x:v>Yes. A representative agent integrates outputs from five distinct peers and its decision changes with adversarial coalition and message characteristics.</x:v>
      </x:c>
      <x:c r="M33" s="60" t="str">
        <x:v>security_relevant</x:v>
      </x:c>
      <x:c r="N33" s="60" t="str">
        <x:v>security_relevant</x:v>
      </x:c>
      <x:c r="O33" s="60" t="str">
        <x:v>Intentional adversarial peers manipulate objective decisions, but the study is also a social-psychology evaluation and does not model a broader technical security boundary.</x:v>
      </x:c>
    </x:row>
    <x:row r="34">
      <x:c r="A34" s="60" t="n">
        <x:v>33</x:v>
      </x:c>
      <x:c r="B34" s="60" t="str">
        <x:v>standard_attack</x:v>
      </x:c>
      <x:c r="C34" s="60" t="str">
        <x:v>zhou2026hierarchical_attacks</x:v>
      </x:c>
      <x:c r="D34" s="60" t="str">
        <x:v>Hierarchical Attacks for Multi-Modal Multi-Agent Reasoning</x:v>
      </x:c>
      <x:c r="E34" s="60" t="str">
        <x:v>Hao Zhou; Tiru Wu; Yan Jiang; Wanqi Zhou; Junxing Hu; Ai Han</x:v>
      </x:c>
      <x:c r="F34" s="60" t="str">
        <x:v>2026</x:v>
      </x:c>
      <x:c r="G34" s="60" t="str">
        <x:v>CVPR 2026</x:v>
      </x:c>
      <x:c r="H34" s="60" t="str"/>
      <x:c r="I34" s="60" t="str">
        <x:v>https://openaccess.thecvf.com/content/CVPR2026/html/Zhou_Hierarchical_Attacks_for_Multi-Modal_Multi-Agent_Reasoning_CVPR_2026_paper.html</x:v>
      </x:c>
      <x:c r="J34" s="60" t="str">
        <x:v>Published CVPR 2026 proceedings version; CVF page lists pp. 42331-42340; arXiv 2605.13213 is a companion version.</x:v>
      </x:c>
      <x:c r="K34" s="60" t="str">
        <x:v>Verified against CVF search result and conference metadata.</x:v>
      </x:c>
      <x:c r="L34" s="60" t="str">
        <x:v>Yes. One master, six specialized subagents, shared/private memory, tools, and communication/reasoning layers are explicitly attacked.</x:v>
      </x:c>
      <x:c r="M34" s="60" t="str">
        <x:v>core_security</x:v>
      </x:c>
      <x:c r="N34" s="60" t="str">
        <x:v>core_security</x:v>
      </x:c>
      <x:c r="O34" s="60" t="str">
        <x:v>Several attack variants manipulate native MAS communication, identity, shared state, and collective reasoning, although perception-only variants are inherited multimodal attacks.</x:v>
      </x:c>
    </x:row>
    <x:row r="35">
      <x:c r="A35" s="60" t="n">
        <x:v>34</x:v>
      </x:c>
      <x:c r="B35" s="60" t="str">
        <x:v>standard_attack</x:v>
      </x:c>
      <x:c r="C35" s="60" t="str">
        <x:v>kong2026web_fraud</x:v>
      </x:c>
      <x:c r="D35" s="60" t="str">
        <x:v>Web Fraud Attacks Against LLM-Driven Multi-Agent Systems</x:v>
      </x:c>
      <x:c r="E35" s="60" t="str">
        <x:v>Dezhang Kong; Hujin Peng; Yilun Zhang; Lele Zhao; Zhenhua Xu; Shi Lin; Changting Lin; Meng Han</x:v>
      </x:c>
      <x:c r="F35" s="60" t="str">
        <x:v>2026</x:v>
      </x:c>
      <x:c r="G35" s="60" t="str">
        <x:v>Findings of ACL 2026</x:v>
      </x:c>
      <x:c r="H35" s="60" t="str">
        <x:v>10.18653/v1/2026.findings-acl.686</x:v>
      </x:c>
      <x:c r="I35" s="60" t="str">
        <x:v>https://aclanthology.org/2026.findings-acl.686/</x:v>
      </x:c>
      <x:c r="J35" s="60" t="str">
        <x:v>Published archival Findings of ACL version.</x:v>
      </x:c>
      <x:c r="K35" s="60" t="str">
        <x:v>Verified against ACL Anthology.</x:v>
      </x:c>
      <x:c r="L35" s="60" t="str">
        <x:v>Yes. One malicious recommender’s URL is reviewed, debated, voted on, or audited by downstream agents.</x:v>
      </x:c>
      <x:c r="M35" s="60" t="str">
        <x:v>core_security</x:v>
      </x:c>
      <x:c r="N35" s="60" t="str">
        <x:v>core_security</x:v>
      </x:c>
      <x:c r="O35" s="60" t="str">
        <x:v>The attack’s success depends on collective recommendation and aggregation workflow.</x:v>
      </x:c>
    </x:row>
    <x:row r="36">
      <x:c r="A36" s="60" t="n">
        <x:v>35</x:v>
      </x:c>
      <x:c r="B36" s="60" t="str">
        <x:v>standard_attack</x:v>
      </x:c>
      <x:c r="C36" s="60" t="str">
        <x:v>huang2025faulty_agents</x:v>
      </x:c>
      <x:c r="D36" s="60" t="str">
        <x:v>On the Resilience of LLM-Based Multi-Agent Collaboration with Faulty Agents</x:v>
      </x:c>
      <x:c r="E36" s="60" t="str">
        <x:v>Jen-Tse Huang; Jiaxu Zhou; Tailin Jin; Xuhui Zhou; Zixi Chen; Wenxuan Wang; Youliang Yuan; Michael R. Lyu; Maarten Sap</x:v>
      </x:c>
      <x:c r="F36" s="60" t="str">
        <x:v>2025</x:v>
      </x:c>
      <x:c r="G36" s="60" t="str">
        <x:v>ICML 2025, PMLR 267</x:v>
      </x:c>
      <x:c r="H36" s="60" t="str"/>
      <x:c r="I36" s="60" t="str">
        <x:v>https://proceedings.mlr.press/v267/huang25ay.html</x:v>
      </x:c>
      <x:c r="J36" s="60" t="str">
        <x:v>Published ICML/PMLR proceedings version.</x:v>
      </x:c>
      <x:c r="K36" s="60" t="str">
        <x:v>Verified against PMLR.</x:v>
      </x:c>
      <x:c r="L36" s="60" t="str">
        <x:v>Yes. Role-transformed or message-injected faulty members affect downstream agents through linear, flat, and hierarchical collaboration.</x:v>
      </x:c>
      <x:c r="M36" s="60" t="str">
        <x:v>security_relevant</x:v>
      </x:c>
      <x:c r="N36" s="60" t="str">
        <x:v>security_relevant</x:v>
      </x:c>
      <x:c r="O36" s="60" t="str">
        <x:v>The study covers malicious as well as clumsy/faulty agents and is fundamentally a resilience/reliability evaluation rather than a purely adversarial attack paper.</x:v>
      </x:c>
    </x:row>
    <x:row r="37">
      <x:c r="A37" s="60" t="n">
        <x:v>36</x:v>
      </x:c>
      <x:c r="B37" s="60" t="str">
        <x:v>standard_attack</x:v>
      </x:c>
      <x:c r="C37" s="60" t="str">
        <x:v>hagag2026architecture_matters</x:v>
      </x:c>
      <x:c r="D37" s="60" t="str">
        <x:v>Architecture Matters for Multi-Agent Security</x:v>
      </x:c>
      <x:c r="E37" s="60" t="str">
        <x:v>Ben Hagag; William L. Anderson; Christian Schroeder de Witt; Sarah Scheffler</x:v>
      </x:c>
      <x:c r="F37" s="60" t="str">
        <x:v>2026</x:v>
      </x:c>
      <x:c r="G37" s="60" t="str">
        <x:v>ICML 2026 AIWILD Workshop / official ICML workshop program</x:v>
      </x:c>
      <x:c r="H37" s="60" t="str">
        <x:v>10.48550/arXiv.2604.23459</x:v>
      </x:c>
      <x:c r="I37" s="60" t="str">
        <x:v>https://icml.cc/virtual/2026/poster/64792</x:v>
      </x:c>
      <x:c r="J37" s="60" t="str">
        <x:v>Workshop publication associated with ICML 2026; full text is arXiv 2604.23459. Do not label it an ICML main-track paper.</x:v>
      </x:c>
      <x:c r="K37" s="60" t="str">
        <x:v>Title/authors verified; queue venue “ICML” is too broad and should be changed to AIWILD workshop at ICML 2026 unless a main-track proceedings record appears.</x:v>
      </x:c>
      <x:c r="L37" s="60" t="str">
        <x:v>Yes. The experiment explicitly varies roles, communication topology, and memory while comparing to standalone agents.</x:v>
      </x:c>
      <x:c r="M37" s="60" t="str">
        <x:v>core_security</x:v>
      </x:c>
      <x:c r="N37" s="60" t="str">
        <x:v>core_security</x:v>
      </x:c>
      <x:c r="O37" s="60" t="str">
        <x:v>Direct harmful-task execution is measured as an architectural composition effect.</x:v>
      </x:c>
    </x:row>
    <x:row r="38">
      <x:c r="A38" s="60" t="n">
        <x:v>37</x:v>
      </x:c>
      <x:c r="B38" s="60" t="str">
        <x:v>standard_attack</x:v>
      </x:c>
      <x:c r="C38" s="60" t="str">
        <x:v>ren2026financial_fraud</x:v>
      </x:c>
      <x:c r="D38" s="60" t="str">
        <x:v>When AI Agents Collude Online: Financial Fraud Risks by Collaborative LLM Agents on Social Platforms</x:v>
      </x:c>
      <x:c r="E38" s="60" t="str">
        <x:v>Qibing Ren; Zhijie Zheng; Jiaxuan Guo; Junchi Yan; Lizhuang Ma; Jing Shao</x:v>
      </x:c>
      <x:c r="F38" s="60" t="str">
        <x:v>2026</x:v>
      </x:c>
      <x:c r="G38" s="60" t="str">
        <x:v>ICLR 2026</x:v>
      </x:c>
      <x:c r="H38" s="60" t="str"/>
      <x:c r="I38" s="60" t="str">
        <x:v>https://openreview.net/pdf/0319815fc31bf769beeb29104637feb4c664902c.pdf</x:v>
      </x:c>
      <x:c r="J38" s="60" t="str">
        <x:v>ICLR 2026 paper; arXiv v2 is the accessible full text.</x:v>
      </x:c>
      <x:c r="K38" s="60" t="str">
        <x:v>Title/authors and ICLR comment verified on arXiv; final OpenReview acceptance metadata should receive author signoff.</x:v>
      </x:c>
      <x:c r="L38" s="60" t="str">
        <x:v>Yes. Populations of malicious agents coordinate through public and private channels over a staged fraud lifecycle.</x:v>
      </x:c>
      <x:c r="M38" s="60" t="str">
        <x:v>core_security</x:v>
      </x:c>
      <x:c r="N38" s="60" t="str">
        <x:v>core_security</x:v>
      </x:c>
      <x:c r="O38" s="60" t="str">
        <x:v>Coalition behavior, population composition, communication depth, and victim conversion are central.</x:v>
      </x:c>
    </x:row>
    <x:row r="39">
      <x:c r="A39" s="60" t="n">
        <x:v>38</x:v>
      </x:c>
      <x:c r="B39" s="60" t="str">
        <x:v>standard_attack</x:v>
      </x:c>
      <x:c r="C39" s="60" t="str">
        <x:v>bowers2025code_injection</x:v>
      </x:c>
      <x:c r="D39" s="60" t="str">
        <x:v>Analyzing Code Injection Attacks on LLM-based Multi-Agent Systems in Software Development</x:v>
      </x:c>
      <x:c r="E39" s="60" t="str">
        <x:v>Brian Bowers; Smita Khapre; Jugal Kalita</x:v>
      </x:c>
      <x:c r="F39" s="60" t="str">
        <x:v>2025</x:v>
      </x:c>
      <x:c r="G39" s="60" t="str">
        <x:v>ICMLA 2025</x:v>
      </x:c>
      <x:c r="H39" s="60" t="str">
        <x:v>10.1109/ICMLA66185.2025.00174</x:v>
      </x:c>
      <x:c r="I39" s="60" t="str">
        <x:v>https://doi.org/10.1109/ICMLA66185.2025.00174</x:v>
      </x:c>
      <x:c r="J39" s="60" t="str">
        <x:v>Published ICMLA metadata; full text accessed as arXiv v1.</x:v>
      </x:c>
      <x:c r="K39" s="60" t="str">
        <x:v>Verified against IEEE DOI metadata and arXiv.</x:v>
      </x:c>
      <x:c r="L39" s="60" t="str">
        <x:v>Yes. Specialized coder, tester, reviewer, and security agents consume a shared code artifact across stages.</x:v>
      </x:c>
      <x:c r="M39" s="60" t="str">
        <x:v>core_security</x:v>
      </x:c>
      <x:c r="N39" s="60" t="str">
        <x:v>core_security</x:v>
      </x:c>
      <x:c r="O39" s="60" t="str">
        <x:v>An insider changes shared code and downstream agents’ review behavior determines whether the injected function survives.</x:v>
      </x:c>
    </x:row>
    <x:row r="40">
      <x:c r="A40" s="60" t="n">
        <x:v>39</x:v>
      </x:c>
      <x:c r="B40" s="60" t="str">
        <x:v>standard_attack</x:v>
      </x:c>
      <x:c r="C40" s="60" t="str">
        <x:v>jha2026control_flow_hijacking</x:v>
      </x:c>
      <x:c r="D40" s="60" t="str">
        <x:v>Breaking and Fixing Defenses Against Control-Flow Hijacking in Multi-Agent Systems</x:v>
      </x:c>
      <x:c r="E40" s="60" t="str">
        <x:v>Rishi Jha; Harold Triedman; Justin Wagle; Vitaly Shmatikov</x:v>
      </x:c>
      <x:c r="F40" s="60" t="str">
        <x:v>2026</x:v>
      </x:c>
      <x:c r="G40" s="60" t="str">
        <x:v>ICLR 2026</x:v>
      </x:c>
      <x:c r="H40" s="60" t="str"/>
      <x:c r="I40" s="60" t="str">
        <x:v>https://openreview.net/forum?id=PNU9Rj5RDQ</x:v>
      </x:c>
      <x:c r="J40" s="60" t="str">
        <x:v>ICLR 2026 paper; arXiv v2 accessible full text.</x:v>
      </x:c>
      <x:c r="K40" s="60" t="str">
        <x:v>Title/authors verified on arXiv and OpenReview record.</x:v>
      </x:c>
      <x:c r="L40" s="60" t="str">
        <x:v>Yes. Indirect prompt injection is laundered through trusted specialists and changes orchestrator delegation/control flow.</x:v>
      </x:c>
      <x:c r="M40" s="60" t="str">
        <x:v>core_security</x:v>
      </x:c>
      <x:c r="N40" s="60" t="str">
        <x:v>core_security</x:v>
      </x:c>
      <x:c r="O40" s="60" t="str">
        <x:v>Control-flow integrity, delegated authority, and partial orchestrator visibility are native MAS concerns.</x:v>
      </x:c>
    </x:row>
    <x:row r="41">
      <x:c r="A41" s="60" t="n">
        <x:v>40</x:v>
      </x:c>
      <x:c r="B41" s="60" t="str">
        <x:v>standard_attack</x:v>
      </x:c>
      <x:c r="C41" s="60" t="str">
        <x:v>zhang2026embedding_defenses</x:v>
      </x:c>
      <x:c r="D41" s="60" t="str">
        <x:v>When Embedding-Based Defenses Fail: Rethinking Safety in LLM-Based Multi-Agent Systems</x:v>
      </x:c>
      <x:c r="E41" s="60" t="str">
        <x:v>Lingxi Zhang; Guangtao Zheng; Hanjie Chen</x:v>
      </x:c>
      <x:c r="F41" s="60" t="str">
        <x:v>2026</x:v>
      </x:c>
      <x:c r="G41" s="60" t="str">
        <x:v>ICML 2026</x:v>
      </x:c>
      <x:c r="H41" s="60" t="str"/>
      <x:c r="I41" s="60" t="str">
        <x:v>https://icml.cc/virtual/2026/poster/62170</x:v>
      </x:c>
      <x:c r="J41" s="60" t="str">
        <x:v>ICML 2026 paper; arXiv v3 is accessible full text.</x:v>
      </x:c>
      <x:c r="K41" s="60" t="str">
        <x:v>Title/authors and version history verified; final ICML proceedings metadata should receive author signoff.</x:v>
      </x:c>
      <x:c r="L41" s="60" t="str">
        <x:v>Yes. One compromised member crafts messages that propagate/aggregate across graph topologies and target graph defenses.</x:v>
      </x:c>
      <x:c r="M41" s="60" t="str">
        <x:v>core_security</x:v>
      </x:c>
      <x:c r="N41" s="60" t="str">
        <x:v>core_security</x:v>
      </x:c>
      <x:c r="O41" s="60" t="str">
        <x:v>The attacks exploit repeated inter-agent communication and the observation model of topology-aware defenses.</x:v>
      </x:c>
    </x:row>
    <x:row r="42">
      <x:c r="A42" s="60" t="n">
        <x:v>41</x:v>
      </x:c>
      <x:c r="B42" s="60" t="str">
        <x:v>standard_attack</x:v>
      </x:c>
      <x:c r="C42" s="60" t="str">
        <x:v>kraidia2026collaboration_fails</x:v>
      </x:c>
      <x:c r="D42" s="60" t="str">
        <x:v>When collaboration fails: persuasion driven adversarial influence in multi agent large language model debate</x:v>
      </x:c>
      <x:c r="E42" s="60" t="str">
        <x:v>Insaf Kraidia; Iyas Qaddara; Alhanof Almutairi; Nada Alzaben; Samir Brahim Belhouari</x:v>
      </x:c>
      <x:c r="F42" s="60" t="str">
        <x:v>2026</x:v>
      </x:c>
      <x:c r="G42" s="60" t="str">
        <x:v>Scientific Reports 16, Article 11640 (2026)</x:v>
      </x:c>
      <x:c r="H42" s="60" t="str">
        <x:v>10.1038/s41598-026-42705-7</x:v>
      </x:c>
      <x:c r="I42" s="60" t="str">
        <x:v>https://www.nature.com/articles/s41598-026-42705-7</x:v>
      </x:c>
      <x:c r="J42" s="60" t="str">
        <x:v>Published open-access journal article, 8 April 2026.</x:v>
      </x:c>
      <x:c r="K42" s="60" t="str">
        <x:v>Title, five-author list, publication date, journal volume/article number, and DOI verified on the Nature publisher page.</x:v>
      </x:c>
      <x:c r="L42" s="60" t="str">
        <x:v>Yes. One or more adversarial debate members observe prior arguments and influence cooperative agents across repeated debate rounds and majority aggregation.</x:v>
      </x:c>
      <x:c r="M42" s="60" t="str">
        <x:v>core_security</x:v>
      </x:c>
      <x:c r="N42" s="60" t="str">
        <x:v>core_security</x:v>
      </x:c>
      <x:c r="O42" s="60" t="str">
        <x:v>Intentional malicious-member persuasion alters a collective decision through explicit inter-agent deliberation; this is not merely generic performance degradation.</x:v>
      </x:c>
    </x:row>
    <x:row r="43">
      <x:c r="A43" s="60" t="n">
        <x:v>42</x:v>
      </x:c>
      <x:c r="B43" s="60" t="str">
        <x:v>standard_attack</x:v>
      </x:c>
      <x:c r="C43" s="60" t="str">
        <x:v>xu2026trust_paradox</x:v>
      </x:c>
      <x:c r="D43" s="60" t="str">
        <x:v>The Trust Paradox in LLM-Based Multi-Agent Systems: When Collaboration Becomes a Security Vulnerability</x:v>
      </x:c>
      <x:c r="E43" s="60" t="str">
        <x:v>Zijie Xu; Minfeng Qi; Shiqing Wu; Lefeng Zhang; Qiwen Wei; Han He; Ningran Li</x:v>
      </x:c>
      <x:c r="F43" s="60" t="str">
        <x:v>2026</x:v>
      </x:c>
      <x:c r="G43" s="60" t="str">
        <x:v>IEEE Transactions on Computational Social Systems</x:v>
      </x:c>
      <x:c r="H43" s="60" t="str">
        <x:v>10.1109/TCSS.2026.3695070</x:v>
      </x:c>
      <x:c r="I43" s="60" t="str">
        <x:v>https://doi.org/10.1109/TCSS.2026.3695070</x:v>
      </x:c>
      <x:c r="J43" s="60" t="str">
        <x:v>Published IEEE journal metadata; technical full text available as arXiv 2510.18563.</x:v>
      </x:c>
      <x:c r="K43" s="60" t="str">
        <x:v>Canonical title/authors/DOI match the IEEE-linked record and arXiv version. Final IEEE pagination should still be added when available.</x:v>
      </x:c>
      <x:c r="L43" s="60" t="str">
        <x:v>Yes. Risk is defined over trust-conditioned cross-role requests and disclosures between separately instantiated role agents across closed-loop interaction chains.</x:v>
      </x:c>
      <x:c r="M43" s="60" t="str">
        <x:v>security_relevant</x:v>
      </x:c>
      <x:c r="N43" s="60" t="str">
        <x:v>security_relevant</x:v>
      </x:c>
      <x:c r="O43" s="60" t="str">
        <x:v>The paper mixes ordinary over-sharing and malicious requests; confidentiality/authorization claims are security-relevant, but not every trust-utility result is an attack claim.</x:v>
      </x:c>
    </x:row>
    <x:row r="44">
      <x:c r="A44" s="60" t="n">
        <x:v>43</x:v>
      </x:c>
      <x:c r="B44" s="60" t="str">
        <x:v>standard_attack</x:v>
      </x:c>
      <x:c r="C44" s="60" t="str">
        <x:v>lee2026prompt_infection</x:v>
      </x:c>
      <x:c r="D44" s="60" t="str">
        <x:v>Prompt Infection: LLM-to-LLM Prompt Injection within Multi-agent Systems</x:v>
      </x:c>
      <x:c r="E44" s="60" t="str">
        <x:v>Donghyun Lee; Mo Tiwari; Brando Miranda</x:v>
      </x:c>
      <x:c r="F44" s="60" t="str">
        <x:v>2026</x:v>
      </x:c>
      <x:c r="G44" s="60" t="str">
        <x:v>ESORICS 2025 International Workshops, LNCS chapter</x:v>
      </x:c>
      <x:c r="H44" s="60" t="str">
        <x:v>10.1007/978-3-032-16092-8_28</x:v>
      </x:c>
      <x:c r="I44" s="60" t="str">
        <x:v>https://link.springer.com/chapter/10.1007/978-3-032-16092-8_28</x:v>
      </x:c>
      <x:c r="J44" s="60" t="str">
        <x:v>Published Springer workshop chapter; arXiv 2410.07283 is the accessible technical version. Published version adds Brando Miranda.</x:v>
      </x:c>
      <x:c r="K44" s="60" t="str">
        <x:v>Title, three-author published list, Springer DOI, and workshop-chapter status verified; year should follow the 2026 LNCS publication, while noting the 2025 workshop event.</x:v>
      </x:c>
      <x:c r="L44" s="60" t="str">
        <x:v>Yes. A self-replicating payload is transferred through ordinary inter-agent messages and compromises downstream role-specialized agents that never saw the original content.</x:v>
      </x:c>
      <x:c r="M44" s="60" t="str">
        <x:v>core_security</x:v>
      </x:c>
      <x:c r="N44" s="60" t="str">
        <x:v>core_security</x:v>
      </x:c>
      <x:c r="O44" s="60" t="str">
        <x:v>Propagation, role-specific payloads, population containment, and cross-agent data/action effects depend directly on explicit interaction.</x:v>
      </x:c>
    </x:row>
    <x:row r="45">
      <x:c r="A45" s="60" t="n">
        <x:v>44</x:v>
      </x:c>
      <x:c r="B45" s="60" t="str">
        <x:v>standard_attack</x:v>
      </x:c>
      <x:c r="C45" s="60" t="str">
        <x:v>yang2026among_us</x:v>
      </x:c>
      <x:c r="D45" s="60" t="str">
        <x:v>Among Us: Measuring and Mitigating Malicious Contributions in Model Collaboration Systems</x:v>
      </x:c>
      <x:c r="E45" s="60" t="str">
        <x:v>Ziyuan Yang; Wenxuan Ding; Shangbin Feng; Yulia Tsvetkov</x:v>
      </x:c>
      <x:c r="F45" s="60" t="str">
        <x:v>2026</x:v>
      </x:c>
      <x:c r="G45" s="60" t="str">
        <x:v>ACL 2026</x:v>
      </x:c>
      <x:c r="H45" s="60" t="str">
        <x:v>10.18653/v1/2026.acl-long.725</x:v>
      </x:c>
      <x:c r="I45" s="60" t="str">
        <x:v>https://aclanthology.org/2026.acl-long.725/</x:v>
      </x:c>
      <x:c r="J45" s="60" t="str">
        <x:v>Published ACL 2026 long paper.</x:v>
      </x:c>
      <x:c r="K45" s="60" t="str">
        <x:v>Title, authors, DOI, year, and ACL publication verified on ACL Anthology.</x:v>
      </x:c>
      <x:c r="L45" s="60" t="str">
        <x:v>Mixed. Text-exchange collaboration is a clear interacting-agent setting; API routing, logit aggregation, and weight merging are broader multi-model composition and may lack separately stateful interacting agent cores.</x:v>
      </x:c>
      <x:c r="M45" s="60" t="str">
        <x:v>core_security</x:v>
      </x:c>
      <x:c r="N45" s="60" t="str">
        <x:v>security_relevant</x:v>
      </x:c>
      <x:c r="O45" s="60" t="str">
        <x:v>The malicious-contributor problem is important, but only a subset of the four collaboration levels cleanly satisfies the SoK’s strict LLM-MAS interaction boundary.</x:v>
      </x:c>
    </x:row>
    <x:row r="46">
      <x:c r="A46" s="60" t="n">
        <x:v>45</x:v>
      </x:c>
      <x:c r="B46" s="60" t="str">
        <x:v>standard_attack</x:v>
      </x:c>
      <x:c r="C46" s="60" t="str">
        <x:v>yu2025codes</x:v>
      </x:c>
      <x:c r="D46" s="60" t="str">
        <x:v>LLM-based Multi-Agents System Attack via Continuous Optimization with Discrete Efficient Search</x:v>
      </x:c>
      <x:c r="E46" s="60" t="str">
        <x:v>Weichen Yu; Kai Hu; Tianyu Pang; Chao Du; Min Lin; Matt Fredrikson</x:v>
      </x:c>
      <x:c r="F46" s="60" t="str">
        <x:v>2025</x:v>
      </x:c>
      <x:c r="G46" s="60" t="str">
        <x:v>COLM 2025</x:v>
      </x:c>
      <x:c r="H46" s="60" t="str"/>
      <x:c r="I46" s="60" t="str">
        <x:v>https://openreview.net/forum?id=ED5diyzc1C</x:v>
      </x:c>
      <x:c r="J46" s="60" t="str">
        <x:v>Published COLM 2025 conference paper on OpenReview; no DOI recorded.</x:v>
      </x:c>
      <x:c r="K46" s="60" t="str">
        <x:v>Title/authors match the repository’s published OpenReview record and COLM accepted-paper metadata; exact proceedings pagination is unavailable.</x:v>
      </x:c>
      <x:c r="L46" s="60" t="str">
        <x:v>Yes. A one-time intervention produces a suffix that is re-emitted through subsequent inter-agent messages, making compromise a multi-hop collective property.</x:v>
      </x:c>
      <x:c r="M46" s="60" t="str">
        <x:v>core_security</x:v>
      </x:c>
      <x:c r="N46" s="60" t="str">
        <x:v>core_security</x:v>
      </x:c>
      <x:c r="O46" s="60" t="str">
        <x:v>The main claim is interaction-dependent self-replication and failure of compromise containment.</x:v>
      </x:c>
    </x:row>
    <x:row r="47">
      <x:c r="A47" s="60" t="n">
        <x:v>46</x:v>
      </x:c>
      <x:c r="B47" s="60" t="str">
        <x:v>standard_attack</x:v>
      </x:c>
      <x:c r="C47" s="60" t="str">
        <x:v>tian2023evil_geniuses</x:v>
      </x:c>
      <x:c r="D47" s="60" t="str">
        <x:v>Evil Geniuses: Delving into the Safety of LLM-based Agents</x:v>
      </x:c>
      <x:c r="E47" s="60" t="str">
        <x:v>Yu Tian; Xiao Yang; Jingyuan Zhang; Yinpeng Dong; Hang Su</x:v>
      </x:c>
      <x:c r="F47" s="60" t="str">
        <x:v>2023</x:v>
      </x:c>
      <x:c r="G47" s="60" t="str">
        <x:v>arXiv preprint</x:v>
      </x:c>
      <x:c r="H47" s="60" t="str">
        <x:v>10.48550/arXiv.2311.11855</x:v>
      </x:c>
      <x:c r="I47" s="60" t="str">
        <x:v>https://arxiv.org/abs/2311.11855</x:v>
      </x:c>
      <x:c r="J47" s="60" t="str">
        <x:v>arXiv v2, last revised 2 February 2024; no peer-reviewed venue verified.</x:v>
      </x:c>
      <x:c r="K47" s="60" t="str">
        <x:v>Title, five-author list, arXiv ID/DOI, submission history, and preprint-only status verified on arXiv.</x:v>
      </x:c>
      <x:c r="L47" s="60" t="str">
        <x:v>Mixed. The paper evaluates CAMEL, MetaGPT, and ChatDev and includes interaction ablations, but also uses a multi-agent Red–Blue workflow merely to generate attacks and mixes MAS targets with single-model comparisons.</x:v>
      </x:c>
      <x:c r="M47" s="60" t="str">
        <x:v>security_relevant</x:v>
      </x:c>
      <x:c r="N47" s="60" t="str">
        <x:v>security_relevant</x:v>
      </x:c>
      <x:c r="O47" s="60" t="str">
        <x:v>Some claims concern interaction-amplified jailbreak risk, but the paper predates a precise independently-stateful-agent boundary and several results are general role-prompt jailbreak findings.</x:v>
      </x:c>
    </x:row>
    <x:row r="48">
      <x:c r="A48" s="60" t="n">
        <x:v>47</x:v>
      </x:c>
      <x:c r="B48" s="60" t="str">
        <x:v>standard_attack</x:v>
      </x:c>
      <x:c r="C48" s="60" t="str">
        <x:v>tan2024wolf_within</x:v>
      </x:c>
      <x:c r="D48" s="60" t="str">
        <x:v>The Wolf Within: Covert Injection of Malice into MLLM Societies via an MLLM Operative</x:v>
      </x:c>
      <x:c r="E48" s="60" t="str">
        <x:v>Zhen Tan; Chengshuai Zhao; Raha Moraffah; Yifan Li; Yu Kong; Tianlong Chen; Huan Liu</x:v>
      </x:c>
      <x:c r="F48" s="60" t="str">
        <x:v>2024</x:v>
      </x:c>
      <x:c r="G48" s="60" t="str">
        <x:v>ReGenAI Workshop at CVPR 2024 / arXiv</x:v>
      </x:c>
      <x:c r="H48" s="60" t="str">
        <x:v>10.48550/arXiv.2402.14859</x:v>
      </x:c>
      <x:c r="I48" s="60" t="str">
        <x:v>https://arxiv.org/abs/2402.14859</x:v>
      </x:c>
      <x:c r="J48" s="60" t="str">
        <x:v>arXiv v2; arXiv comments report acceptance to ReGenAI@CVPR 2024 workshop, not CVPR main conference.</x:v>
      </x:c>
      <x:c r="K48" s="60" t="str">
        <x:v>Title, seven authors, arXiv history, and workshop status verified. Corpus must not label it simply as CVPR 2024.</x:v>
      </x:c>
      <x:c r="L48" s="60" t="str">
        <x:v>Yes but narrow. The optimized output of one MLLM is forwarded with media to a clean second MLLM; the paper demonstrates one-hop composed compromise, not autonomous population infection.</x:v>
      </x:c>
      <x:c r="M48" s="60" t="str">
        <x:v>core_security</x:v>
      </x:c>
      <x:c r="N48" s="60" t="str">
        <x:v>core_security</x:v>
      </x:c>
      <x:c r="O48" s="60" t="str">
        <x:v>The malicious objective is optimized through an explicit two-agent multimodal path and depends on inter-agent forwarding.</x:v>
      </x:c>
    </x:row>
    <x:row r="49">
      <x:c r="A49" s="60" t="n">
        <x:v>48</x:v>
      </x:c>
      <x:c r="B49" s="60" t="str">
        <x:v>standard_attack</x:v>
      </x:c>
      <x:c r="C49" s="60" t="str">
        <x:v>zheng2025integrity_attacks</x:v>
      </x:c>
      <x:c r="D49" s="60" t="str">
        <x:v>Demonstrations of Integrity Attacks in Multi-Agent Systems</x:v>
      </x:c>
      <x:c r="E49" s="60" t="str">
        <x:v>Can Zheng; Yuhan Cao; Xiaoning Dong; Tianxing He</x:v>
      </x:c>
      <x:c r="F49" s="60" t="str">
        <x:v>2025</x:v>
      </x:c>
      <x:c r="G49" s="60" t="str">
        <x:v>arXiv preprint</x:v>
      </x:c>
      <x:c r="H49" s="60" t="str">
        <x:v>10.48550/arXiv.2506.04572</x:v>
      </x:c>
      <x:c r="I49" s="60" t="str">
        <x:v>https://arxiv.org/abs/2506.04572</x:v>
      </x:c>
      <x:c r="J49" s="60" t="str">
        <x:v>arXiv v1 submitted 5 June 2025; no peer-reviewed publication verified.</x:v>
      </x:c>
      <x:c r="K49" s="60" t="str">
        <x:v>Title, four authors, submission date, arXiv identifier, and preprint-only status verified.</x:v>
      </x:c>
      <x:c r="L49" s="60" t="str">
        <x:v>Yes. The four strategies exploit contribution attribution, workload assignment, tool promotion, peer interaction, and transcript-based monitoring that only exist in collaboration.</x:v>
      </x:c>
      <x:c r="M49" s="60" t="str">
        <x:v>core_security</x:v>
      </x:c>
      <x:c r="N49" s="60" t="str">
        <x:v>core_security</x:v>
      </x:c>
      <x:c r="O49" s="60" t="str">
        <x:v>Intentional self-interested members manipulate MAS accounting/coordination while preserving apparent task function.</x:v>
      </x:c>
    </x:row>
    <x:row r="50">
      <x:c r="A50" s="60" t="n">
        <x:v>49</x:v>
      </x:c>
      <x:c r="B50" s="60" t="str">
        <x:v>standard_attack</x:v>
      </x:c>
      <x:c r="C50" s="60" t="str">
        <x:v>xie2025_whos_the_mole</x:v>
      </x:c>
      <x:c r="D50" s="60" t="str">
        <x:v>Who's the Mole? Modeling and Detecting Intention-Hiding Malicious Agents in LLM-Based Multi-Agent Systems</x:v>
      </x:c>
      <x:c r="E50" s="60" t="str">
        <x:v>Yizhe Xie; Congcong Zhu; Xinyue Zhang; Tianqing Zhu; Dayong Ye; Minghao Wang; Chi Liu</x:v>
      </x:c>
      <x:c r="F50" s="60" t="str">
        <x:v>2025</x:v>
      </x:c>
      <x:c r="G50" s="60" t="str">
        <x:v>arXiv preprint</x:v>
      </x:c>
      <x:c r="H50" s="60" t="str">
        <x:v>10.48550/arXiv.2507.04724</x:v>
      </x:c>
      <x:c r="I50" s="60" t="str">
        <x:v>https://arxiv.org/abs/2507.04724</x:v>
      </x:c>
      <x:c r="J50" s="60" t="str">
        <x:v>arXiv v2, revised 6 October 2025; no peer-reviewed venue verified.</x:v>
      </x:c>
      <x:c r="K50" s="60" t="str">
        <x:v>Title, seven authors, arXiv ID, version history, and preprint status verified.</x:v>
      </x:c>
      <x:c r="L50" s="60" t="str">
        <x:v>Yes. A role-consistent malicious member manipulates peers through centralized, decentralized, or layered communication and is detected through multi-round behavioral observation.</x:v>
      </x:c>
      <x:c r="M50" s="60" t="str">
        <x:v>core_security</x:v>
      </x:c>
      <x:c r="N50" s="60" t="str">
        <x:v>core_security</x:v>
      </x:c>
      <x:c r="O50" s="60" t="str">
        <x:v>Intentional member compromise, interaction-dependent goal/decision degradation, membership monitoring, removal, and partial observability are core MAS security concerns.</x:v>
      </x:c>
    </x:row>
    <x:row r="51">
      <x:c r="A51" s="60" t="n">
        <x:v>50</x:v>
      </x:c>
      <x:c r="B51" s="60" t="str">
        <x:v>standard_attack</x:v>
      </x:c>
      <x:c r="C51" s="60" t="str">
        <x:v>zhu2025_collaborative_shadows</x:v>
      </x:c>
      <x:c r="D51" s="60" t="str">
        <x:v>Collaborative Shadows: Distributed Backdoor Attacks in LLM-Based Multi-Agent Systems</x:v>
      </x:c>
      <x:c r="E51" s="60" t="str">
        <x:v>Pengyu Zhu; Lijun Li; Yaxing Lyu; Li Sun; Sen Su; Jing Shao</x:v>
      </x:c>
      <x:c r="F51" s="60" t="str">
        <x:v>2025</x:v>
      </x:c>
      <x:c r="G51" s="60" t="str">
        <x:v>arXiv preprint</x:v>
      </x:c>
      <x:c r="H51" s="60" t="str">
        <x:v>10.48550/arXiv.2510.11246</x:v>
      </x:c>
      <x:c r="I51" s="60" t="str">
        <x:v>https://arxiv.org/abs/2510.11246</x:v>
      </x:c>
      <x:c r="J51" s="60" t="str">
        <x:v>arXiv v1 submitted 13 October 2025; no peer-reviewed publication verified.</x:v>
      </x:c>
      <x:c r="K51" s="60" t="str">
        <x:v>Title, six authors, arXiv identifier, submission date, and preprint-only status verified.</x:v>
      </x:c>
      <x:c r="L51" s="60" t="str">
        <x:v>Yes. Backdoor primitives are distributed across tools/roles and activate only through a specified cross-agent invocation sequence.</x:v>
      </x:c>
      <x:c r="M51" s="60" t="str">
        <x:v>core_security</x:v>
      </x:c>
      <x:c r="N51" s="60" t="str">
        <x:v>core_security</x:v>
      </x:c>
      <x:c r="O51" s="60" t="str">
        <x:v>The attack depends on distributed authority, role-private tools, cross-agent sequencing, and failure of local inspection to compose.</x:v>
      </x:c>
    </x:row>
    <x:row r="52">
      <x:c r="A52" s="60" t="n">
        <x:v>51</x:v>
      </x:c>
      <x:c r="B52" s="60" t="str">
        <x:v>standard_attack</x:v>
      </x:c>
      <x:c r="C52" s="60" t="str">
        <x:v>liang2025_dont_trust_upstream</x:v>
      </x:c>
      <x:c r="D52" s="60" t="str">
        <x:v>Don't Trust Your Upstream: Exploiting LLM Multi-Agent System via Topology-Guided Adversarial Propagation</x:v>
      </x:c>
      <x:c r="E52" s="60" t="str">
        <x:v>Ruichao Liang; Le Yin; Jing Chen; Yebo Feng; Cong Wu; Xiaoyu Zhang; Huangpeng Gu; Zijian Zhang; Yang Liu</x:v>
      </x:c>
      <x:c r="F52" s="60" t="str">
        <x:v>2025</x:v>
      </x:c>
      <x:c r="G52" s="60" t="str">
        <x:v>arXiv preprint</x:v>
      </x:c>
      <x:c r="H52" s="60" t="str">
        <x:v>10.48550/arXiv.2512.04129</x:v>
      </x:c>
      <x:c r="I52" s="60" t="str">
        <x:v>https://arxiv.org/abs/2512.04129</x:v>
      </x:c>
      <x:c r="J52" s="60" t="str">
        <x:v>arXiv v2 revised 4 May 2026; no peer-reviewed publication verified.</x:v>
      </x:c>
      <x:c r="K52" s="60" t="str">
        <x:v>Title, nine authors, arXiv ID, v2 date, and preprint-only status verified.</x:v>
      </x:c>
      <x:c r="L52" s="60" t="str">
        <x:v>Yes. The attack infers a hidden graph, selects an entry-to-privileged-agent path, and propagates contamination over multiple inter-agent hops.</x:v>
      </x:c>
      <x:c r="M52" s="60" t="str">
        <x:v>core_security</x:v>
      </x:c>
      <x:c r="N52" s="60" t="str">
        <x:v>core_security</x:v>
      </x:c>
      <x:c r="O52" s="60" t="str">
        <x:v>Topology confidentiality, graph reachability, multi-hop compromise, privilege distribution, and graph-aware intervention are native MAS security objects.</x:v>
      </x:c>
    </x:row>
    <x:row r="53">
      <x:c r="A53" s="60" t="n">
        <x:v>52</x:v>
      </x:c>
      <x:c r="B53" s="60" t="str">
        <x:v>standard_attack</x:v>
      </x:c>
      <x:c r="C53" s="60" t="str">
        <x:v>weckbecker2026_thought_virus</x:v>
      </x:c>
      <x:c r="D53" s="60" t="str">
        <x:v>Thought Virus: Viral Misalignment via Subliminal Prompting in Multi-Agent Systems</x:v>
      </x:c>
      <x:c r="E53" s="60" t="str">
        <x:v>Moritz Weckbecker; Jonas Müller; Ben Hagag; Michael Mulet</x:v>
      </x:c>
      <x:c r="F53" s="60" t="str">
        <x:v>2026</x:v>
      </x:c>
      <x:c r="G53" s="60" t="str">
        <x:v>arXiv preprint</x:v>
      </x:c>
      <x:c r="H53" s="60" t="str">
        <x:v>10.48550/arXiv.2603.00131</x:v>
      </x:c>
      <x:c r="I53" s="60" t="str">
        <x:v>https://arxiv.org/abs/2603.00131</x:v>
      </x:c>
      <x:c r="J53" s="60" t="str">
        <x:v>arXiv v1; no peer-reviewed publication verified.</x:v>
      </x:c>
      <x:c r="K53" s="60" t="str">
        <x:v>Title, four authors, arXiv ID, and preprint status verified.</x:v>
      </x:c>
      <x:c r="L53" s="60" t="str">
        <x:v>Yes. A seeded preference propagates through ordinary paraphrased messages to downstream agents, including after the original seeded agent exits.</x:v>
      </x:c>
      <x:c r="M53" s="60" t="str">
        <x:v>core_security</x:v>
      </x:c>
      <x:c r="N53" s="60" t="str">
        <x:v>security_relevant</x:v>
      </x:c>
      <x:c r="O53" s="60" t="str">
        <x:v>Interaction-dependent covert propagation and monitorability are relevant, but the primary outcomes are controlled concept preferences/truthfulness rather than a conventional adversarial system compromise.</x:v>
      </x:c>
    </x:row>
    <x:row r="54">
      <x:c r="A54" s="60" t="n">
        <x:v>53</x:v>
      </x:c>
      <x:c r="B54" s="60" t="str">
        <x:v>standard_attack</x:v>
      </x:c>
      <x:c r="C54" s="60" t="str">
        <x:v>lupinacci2025darkside</x:v>
      </x:c>
      <x:c r="D54" s="60" t="str">
        <x:v>The Dark Side of LLMs: Agent-based Attack Vectors for System-level Compromise</x:v>
      </x:c>
      <x:c r="E54" s="60" t="str">
        <x:v>Matteo Lupinacci; Francesco Aurelio Pironti; Francesco Blefari; Francesco Romeo; Luigi Arena; Angelo Furfaro</x:v>
      </x:c>
      <x:c r="F54" s="60" t="str">
        <x:v>2025</x:v>
      </x:c>
      <x:c r="G54" s="60" t="str">
        <x:v>arXiv preprint</x:v>
      </x:c>
      <x:c r="H54" s="60" t="str">
        <x:v>10.48550/arXiv.2507.06850</x:v>
      </x:c>
      <x:c r="I54" s="60" t="str">
        <x:v>https://arxiv.org/abs/2507.06850</x:v>
      </x:c>
      <x:c r="J54" s="60" t="str">
        <x:v>arXiv v6 revised 9 May 2026; no peer-reviewed publication verified.</x:v>
      </x:c>
      <x:c r="K54" s="60" t="str">
        <x:v>Title, six authors, arXiv ID, and v6 history verified.</x:v>
      </x:c>
      <x:c r="L54" s="60" t="str">
        <x:v>Partially. The Inter-Agent Trust Exploitation condition is explicitly peer-to-peer and interaction dependent; direct prompt and RAG conditions are single-agent baselines/comparators.</x:v>
      </x:c>
      <x:c r="M54" s="60" t="str">
        <x:v>core_security</x:v>
      </x:c>
      <x:c r="N54" s="60" t="str">
        <x:v>security_relevant</x:v>
      </x:c>
      <x:c r="O54" s="60" t="str">
        <x:v>The inter-agent provenance/authorization claim is core, but the paper as a whole is a broader agent system-compromise comparison and not exclusively MAS.</x:v>
      </x:c>
    </x:row>
    <x:row r="55">
      <x:c r="A55" s="60" t="n">
        <x:v>54</x:v>
      </x:c>
      <x:c r="B55" s="60" t="str">
        <x:v>standard_attack</x:v>
      </x:c>
      <x:c r="C55" s="60" t="str">
        <x:v>sun2026insider</x:v>
      </x:c>
      <x:c r="D55" s="60" t="str">
        <x:v>Insider Attacks in Multi-Agent LLM Consensus Systems</x:v>
      </x:c>
      <x:c r="E55" s="60" t="str">
        <x:v>Xiaolin Sun; Zixuan Liu; Yibin Hu; Zizhan Zheng</x:v>
      </x:c>
      <x:c r="F55" s="60" t="str">
        <x:v>2026</x:v>
      </x:c>
      <x:c r="G55" s="60" t="str">
        <x:v>arXiv preprint</x:v>
      </x:c>
      <x:c r="H55" s="60" t="str">
        <x:v>10.48550/arXiv.2605.08268</x:v>
      </x:c>
      <x:c r="I55" s="60" t="str">
        <x:v>https://arxiv.org/abs/2605.08268</x:v>
      </x:c>
      <x:c r="J55" s="60" t="str">
        <x:v>arXiv v1 submitted 8 May 2026; explicitly preliminary, no peer-reviewed publication verified.</x:v>
      </x:c>
      <x:c r="K55" s="60" t="str">
        <x:v>Title, four authors, arXiv ID/date, and preprint-only status verified.</x:v>
      </x:c>
      <x:c r="L55" s="60" t="str">
        <x:v>Yes. The attack objective is to delay/prevent agreement among benign members by sending protocol-valid adaptive messages.</x:v>
      </x:c>
      <x:c r="M55" s="60" t="str">
        <x:v>core_security</x:v>
      </x:c>
      <x:c r="N55" s="60" t="str">
        <x:v>core_security</x:v>
      </x:c>
      <x:c r="O55" s="60" t="str">
        <x:v>Agreement, termination, malicious membership, and adaptive protocol-valid influence are inherently multi-party.</x:v>
      </x:c>
    </x:row>
    <x:row r="56">
      <x:c r="A56" s="60" t="n">
        <x:v>55</x:v>
      </x:c>
      <x:c r="B56" s="60" t="str">
        <x:v>standard_attack</x:v>
      </x:c>
      <x:c r="C56" s="60" t="str">
        <x:v>ahad2026sif</x:v>
      </x:c>
      <x:c r="D56" s="60" t="str">
        <x:v>Semantic Intent Fragmentation: A Single-Shot Compositional Attack on Multi-Agent AI Pipelines</x:v>
      </x:c>
      <x:c r="E56" s="60" t="str">
        <x:v>Tanzim Ahad; Ismail Hossain; Md Jahangir Alam; Sai Puppala; Yoonpyo Lee; Syed Bahauddin Alam; Sajedul Talukder</x:v>
      </x:c>
      <x:c r="F56" s="60" t="str">
        <x:v>2026</x:v>
      </x:c>
      <x:c r="G56" s="60" t="str">
        <x:v>AAAI Symposium Series, Vol. 9 No. 1, pp. 229–237</x:v>
      </x:c>
      <x:c r="H56" s="60" t="str">
        <x:v>10.1609/aaaiss.v9i1.42936</x:v>
      </x:c>
      <x:c r="I56" s="60" t="str">
        <x:v>https://ojs.aaai.org/index.php/AAAI-SS/article/view/42936</x:v>
      </x:c>
      <x:c r="J56" s="60" t="str">
        <x:v>Published AAAI Symposium Series paper; arXiv full text available.</x:v>
      </x:c>
      <x:c r="K56" s="60" t="str">
        <x:v>Title/authors/DOI/volume/page range are supported by publisher metadata in the corpus; publisher page returned a transient fetch error and requires author signoff.</x:v>
      </x:c>
      <x:c r="L56" s="60" t="str">
        <x:v>Boundary case. One orchestrator decomposes a request into locally checked subtasks/components; the security claim is compositional and multi-component, but the record does not clearly establish independently stateful LLM agent cores for every component.</x:v>
      </x:c>
      <x:c r="M56" s="60" t="str">
        <x:v>core_security</x:v>
      </x:c>
      <x:c r="N56" s="60" t="str">
        <x:v>security_relevant</x:v>
      </x:c>
      <x:c r="O56" s="60" t="str">
        <x:v>Strongly relevant to global-vs-local observability and composition, but may be an agentic pipeline rather than a strict LLM-MAS under the proposed boundary.</x:v>
      </x:c>
    </x:row>
    <x:row r="57">
      <x:c r="A57" s="60" t="n">
        <x:v>56</x:v>
      </x:c>
      <x:c r="B57" s="60" t="str">
        <x:v>standard_attack</x:v>
      </x:c>
      <x:c r="C57" s="60" t="str">
        <x:v>cai2026grmp</x:v>
      </x:c>
      <x:c r="D57" s="60" t="str">
        <x:v>Graph Representation-based Model Poisoning on the Heterogeneous Internet of Agents</x:v>
      </x:c>
      <x:c r="E57" s="60" t="str">
        <x:v>Hanlin Cai; Houtianfu Wang; Haofan Dong; Kai Li; Sai Zou; Ozgur B. Akan</x:v>
      </x:c>
      <x:c r="F57" s="60" t="str">
        <x:v>2026</x:v>
      </x:c>
      <x:c r="G57" s="60" t="str">
        <x:v>IEEE IWCMC 2026</x:v>
      </x:c>
      <x:c r="H57" s="60" t="str">
        <x:v>10.1109/IWCMC69287.2026.11579822</x:v>
      </x:c>
      <x:c r="I57" s="60" t="str">
        <x:v>https://doi.org/10.1109/IWCMC69287.2026.11579822</x:v>
      </x:c>
      <x:c r="J57" s="60" t="str">
        <x:v>Accepted/published IWCMC 2026 metadata; arXiv v3 revised 8 April 2026 provides full text.</x:v>
      </x:c>
      <x:c r="K57" s="60" t="str">
        <x:v>Six-author formal list verified, but author order in the current queue/note is wrong: official/arXiv order is Cai, Wang, Dong, Li, Zou, Akan.</x:v>
      </x:c>
      <x:c r="L57" s="60" t="str">
        <x:v>Adjacent rather than core runtime MAS. The participants perform federated fine-tuning and exchange model updates with a central server, not runtime interaction among independently acting LLM agents.</x:v>
      </x:c>
      <x:c r="M57" s="60" t="str">
        <x:v>core_security</x:v>
      </x:c>
      <x:c r="N57" s="60" t="str">
        <x:v>adjacent</x:v>
      </x:c>
      <x:c r="O57" s="60" t="str">
        <x:v>Relevant distributed aggregation security, but current scope explicitly prioritizes runtime interaction and excludes training-only work without a runtime MAS consequence.</x:v>
      </x:c>
    </x:row>
    <x:row r="58">
      <x:c r="A58" s="60" t="n">
        <x:v>57</x:v>
      </x:c>
      <x:c r="B58" s="60" t="str">
        <x:v>standard_attack</x:v>
      </x:c>
      <x:c r="C58" s="60" t="str">
        <x:v>huang2026mcpthreatmodel</x:v>
      </x:c>
      <x:c r="D58" s="60" t="str">
        <x:v>Model Context Protocol Threat Modeling and Analysis of Vulnerabilities to Prompt Injection with Tool Poisoning</x:v>
      </x:c>
      <x:c r="E58" s="60" t="str">
        <x:v>Charoes Huang; Xin Huang; Ngoc Phu Tran; Amin Milani Fard</x:v>
      </x:c>
      <x:c r="F58" s="60" t="str">
        <x:v>2026</x:v>
      </x:c>
      <x:c r="G58" s="60" t="str">
        <x:v>Journal of Cybersecurity and Privacy 6(3), Article 84</x:v>
      </x:c>
      <x:c r="H58" s="60" t="str">
        <x:v>10.3390/jcp6030084</x:v>
      </x:c>
      <x:c r="I58" s="60" t="str">
        <x:v>https://www.mdpi.com/2624-800X/6/3/84</x:v>
      </x:c>
      <x:c r="J58" s="60" t="str">
        <x:v>Published journal article; publisher metadata and DOI recorded.</x:v>
      </x:c>
      <x:c r="K58" s="60" t="str">
        <x:v>Title, four authors, journal/volume/issue/article and DOI are consistent in the publisher/Crossref-derived record; publisher web fetch was rate-limited, so final pagination/metadata requires signoff.</x:v>
      </x:c>
      <x:c r="L58" s="60" t="str">
        <x:v>No under the strict core boundary. The system is an MCP host/client/LLM/server protocol stack; the attack does not require two independently stateful LLM-backed agent cores.</x:v>
      </x:c>
      <x:c r="M58" s="60" t="str">
        <x:v>core_security</x:v>
      </x:c>
      <x:c r="N58" s="60" t="str">
        <x:v>adjacent</x:v>
      </x:c>
      <x:c r="O58" s="60" t="str">
        <x:v>Highly relevant protocol/tool-boundary security, but it is agentic protocol substrate evidence rather than LLM-MAS interaction among multiple agent cores.</x:v>
      </x:c>
    </x:row>
    <x:row r="59">
      <x:c r="A59" s="60" t="n">
        <x:v>58</x:v>
      </x:c>
      <x:c r="B59" s="60" t="str">
        <x:v>standard_attack</x:v>
      </x:c>
      <x:c r="C59" s="60" t="str">
        <x:v>xiao2026sgoatmas</x:v>
      </x:c>
      <x:c r="D59" s="60" t="str">
        <x:v>You Don't Have to Be the One Doing Evil! Locate a Scapegoat within Multi-Agent Systems for Executing Covert Attacks</x:v>
      </x:c>
      <x:c r="E59" s="60" t="str">
        <x:v>Tianzhe Xiao; Haozhao Wang; Yichen Li; Tianlong Luo; Xiong Yongfu; Daiming Kuang; Yi Wang; Yi Liu; Ruixuan Li</x:v>
      </x:c>
      <x:c r="F59" s="60" t="str">
        <x:v>2026</x:v>
      </x:c>
      <x:c r="G59" s="60" t="str">
        <x:v>FedKDD/FedMAS Workshop 2026, Oral</x:v>
      </x:c>
      <x:c r="H59" s="60" t="str"/>
      <x:c r="I59" s="60" t="str">
        <x:v>https://openreview.net/forum?id=CIRI47rmLQ</x:v>
      </x:c>
      <x:c r="J59" s="60" t="str">
        <x:v>Accepted workshop oral on OpenReview; no DOI recorded. Earlier anonymous submission should not be counted separately.</x:v>
      </x:c>
      <x:c r="K59" s="60" t="str">
        <x:v>Title, nine authors, and workshop-oral status are recorded in the canonical OpenReview/repository note; exact public venue metadata should receive author signoff due OpenReview anti-bot page.</x:v>
      </x:c>
      <x:c r="L59" s="60" t="str">
        <x:v>Yes. The attack selects a workflow edge and induces a downstream honest member to emit the corrupting contribution, affecting both decision and attribution.</x:v>
      </x:c>
      <x:c r="M59" s="60" t="str">
        <x:v>core_security</x:v>
      </x:c>
      <x:c r="N59" s="60" t="str">
        <x:v>core_security</x:v>
      </x:c>
      <x:c r="O59" s="60" t="str">
        <x:v>Malicious membership, topology-dependent influence, downstream blame shifting, and observer attribution are interaction-native.</x:v>
      </x:c>
    </x:row>
    <x:row r="60">
      <x:c r="A60" s="60" t="n">
        <x:v>59</x:v>
      </x:c>
      <x:c r="B60" s="60" t="str">
        <x:v>standard_attack</x:v>
      </x:c>
      <x:c r="C60" s="60" t="str">
        <x:v>han2025alignment_tipping</x:v>
      </x:c>
      <x:c r="D60" s="60" t="str">
        <x:v>Alignment Tipping Process: How Self-Evolution Pushes LLM Agents Off the Rails</x:v>
      </x:c>
      <x:c r="E60" s="60" t="str">
        <x:v>Siwei Han; Kaiwen Xiong; Jiaqi Liu; Xinyu Ye; Yaofeng Su; Wenbo Duan; Xinyuan Liu; Cihang Xie; Mohit Bansal; Mingyu Ding; Linjun Zhang; Huaxiu Yao</x:v>
      </x:c>
      <x:c r="F60" s="60" t="str">
        <x:v>2025</x:v>
      </x:c>
      <x:c r="G60" s="60" t="str">
        <x:v>arXiv preprint</x:v>
      </x:c>
      <x:c r="H60" s="60" t="str">
        <x:v>10.48550/arXiv.2510.04860</x:v>
      </x:c>
      <x:c r="I60" s="60" t="str">
        <x:v>https://arxiv.org/abs/2510.04860</x:v>
      </x:c>
      <x:c r="J60" s="60" t="str">
        <x:v>arXiv v2 revised 11 February 2026; no peer-reviewed publication verified.</x:v>
      </x:c>
      <x:c r="K60" s="60" t="str">
        <x:v>Title, 12 authors, arXiv ID/version history, and preprint-only status verified.</x:v>
      </x:c>
      <x:c r="L60" s="60" t="str">
        <x:v>Mixed. Imitative Strategy Diffusion is explicitly multi-agent; Self-Interested Exploration is single-agent.</x:v>
      </x:c>
      <x:c r="M60" s="60" t="str">
        <x:v>security_relevant</x:v>
      </x:c>
      <x:c r="N60" s="60" t="str">
        <x:v>security_relevant</x:v>
      </x:c>
      <x:c r="O60" s="60" t="str">
        <x:v>The MAS diffusion pathway informs collective objective integrity, but there is no explicit adversary and half the paper is single-agent self-evolution.</x:v>
      </x:c>
    </x:row>
    <x:row r="61">
      <x:c r="A61" s="60" t="n">
        <x:v>60</x:v>
      </x:c>
      <x:c r="B61" s="60" t="str">
        <x:v>standard_attack</x:v>
      </x:c>
      <x:c r="C61" s="60" t="str">
        <x:v>long2025funcpoison</x:v>
      </x:c>
      <x:c r="D61" s="60" t="str">
        <x:v>FuncPoison: Poisoning Function Library to Hijack Multi-agent Autonomous Driving Systems</x:v>
      </x:c>
      <x:c r="E61" s="60" t="str">
        <x:v>Yuzhen Long; Songze Li</x:v>
      </x:c>
      <x:c r="F61" s="60" t="str">
        <x:v>2025</x:v>
      </x:c>
      <x:c r="G61" s="60" t="str">
        <x:v>arXiv preprint</x:v>
      </x:c>
      <x:c r="H61" s="60" t="str">
        <x:v>10.48550/arXiv.2509.24408</x:v>
      </x:c>
      <x:c r="I61" s="60" t="str">
        <x:v>https://arxiv.org/abs/2509.24408</x:v>
      </x:c>
      <x:c r="J61" s="60" t="str">
        <x:v>arXiv v2 revised 29 December 2025; no peer-reviewed publication verified.</x:v>
      </x:c>
      <x:c r="K61" s="60" t="str">
        <x:v>Title, two authors, arXiv ID/version history, and preprint-only status verified.</x:v>
      </x:c>
      <x:c r="L61" s="60" t="str">
        <x:v>Yes. A poisoned shared function changes one specialized agent’s output and downstream agents consume the corrupted result in a driving pipeline.</x:v>
      </x:c>
      <x:c r="M61" s="60" t="str">
        <x:v>core_security</x:v>
      </x:c>
      <x:c r="N61" s="60" t="str">
        <x:v>core_security</x:v>
      </x:c>
      <x:c r="O61" s="60" t="str">
        <x:v>Shared tool/function supply chain, cross-agent propagation, and safety-critical joint trajectory depend on explicit role interaction.</x:v>
      </x:c>
    </x:row>
    <x:row r="62">
      <x:c r="A62" s="60" t="n">
        <x:v>61</x:v>
      </x:c>
      <x:c r="B62" s="60" t="str">
        <x:v>standard_attack</x:v>
      </x:c>
      <x:c r="C62" s="60" t="str">
        <x:v>naik2026omni_leak</x:v>
      </x:c>
      <x:c r="D62" s="60" t="str">
        <x:v>OMNI-LEAK: Orchestrator Multi-Agent Network Induced Data Leakage</x:v>
      </x:c>
      <x:c r="E62" s="60" t="str">
        <x:v>Akshat Naik; Jay Culligan; Yarin Gal; Philip Torr; Rahaf Aljundi; Alasdair Paren; Adel Bibi</x:v>
      </x:c>
      <x:c r="F62" s="60" t="str">
        <x:v>2026</x:v>
      </x:c>
      <x:c r="G62" s="60" t="str">
        <x:v>arXiv preprint</x:v>
      </x:c>
      <x:c r="H62" s="60" t="str">
        <x:v>10.48550/arXiv.2602.13477</x:v>
      </x:c>
      <x:c r="I62" s="60" t="str">
        <x:v>https://arxiv.org/abs/2602.13477</x:v>
      </x:c>
      <x:c r="J62" s="60" t="str">
        <x:v>arXiv v2 revised 25 February 2026; no peer-reviewed publication verified.</x:v>
      </x:c>
      <x:c r="K62" s="60" t="str">
        <x:v>Title, seven-author page list, arXiv ID/version history, and preprint status verified. ArXiv’s condensed “by ... and 5 other authors” display is inconsistent with the seven names and should not be used for counting.</x:v>
      </x:c>
      <x:c r="L62" s="60" t="str">
        <x:v>Yes. One indirect injection crosses a data agent, orchestrator, and separate notification agent with distinct tools/permissions to exfiltrate data.</x:v>
      </x:c>
      <x:c r="M62" s="60" t="str">
        <x:v>core_security</x:v>
      </x:c>
      <x:c r="N62" s="60" t="str">
        <x:v>core_security</x:v>
      </x:c>
      <x:c r="O62" s="60" t="str">
        <x:v>Differential authority and cross-agent data flow are the central attack mechanism and failure.</x:v>
      </x:c>
    </x:row>
    <x:row r="63">
      <x:c r="A63" s="60" t="n">
        <x:v>62</x:v>
      </x:c>
      <x:c r="B63" s="60" t="str">
        <x:v>standard_attack</x:v>
      </x:c>
      <x:c r="C63" s="60" t="str">
        <x:v>zhou2026shield_target</x:v>
      </x:c>
      <x:c r="D63" s="60" t="str">
        <x:v>From Shield to Target: Denial-of-Service Attacks on LLM-Based Agent Guardrails</x:v>
      </x:c>
      <x:c r="E63" s="60" t="str">
        <x:v>Yuguang Zhou; Xunguang Wang; Pingchuan Ma; Zhantong Xue; Zhaoyu Wang; Shuai Wang</x:v>
      </x:c>
      <x:c r="F63" s="60" t="str">
        <x:v>2026</x:v>
      </x:c>
      <x:c r="G63" s="60" t="str">
        <x:v>arXiv preprint</x:v>
      </x:c>
      <x:c r="H63" s="60" t="str">
        <x:v>10.48550/arXiv.2606.14517</x:v>
      </x:c>
      <x:c r="I63" s="60" t="str">
        <x:v>https://arxiv.org/abs/2606.14517</x:v>
      </x:c>
      <x:c r="J63" s="60" t="str">
        <x:v>arXiv v2 revised 16 June 2026; no peer-reviewed publication verified.</x:v>
      </x:c>
      <x:c r="K63" s="60" t="str">
        <x:v>Title, six authors, arXiv ID/version history, and preprint status verified.</x:v>
      </x:c>
      <x:c r="L63" s="60" t="str">
        <x:v>Partially. The attack primitive targets any reasoning guardrail; MAS-specific harm arises when co-located agents share the saturated guardrail and experience head-of-line blocking/starvation.</x:v>
      </x:c>
      <x:c r="M63" s="60" t="str">
        <x:v>security_relevant</x:v>
      </x:c>
      <x:c r="N63" s="60" t="str">
        <x:v>security_relevant</x:v>
      </x:c>
      <x:c r="O63" s="60" t="str">
        <x:v>Shared-monitor resource isolation is interaction-amplified, but the underlying guardrail DoS is not MAS-native and MAS is only one of several deployment evaluations.</x:v>
      </x:c>
    </x:row>
    <x:row r="64">
      <x:c r="A64" s="60" t="n">
        <x:v>63</x:v>
      </x:c>
      <x:c r="B64" s="60" t="str">
        <x:v>cross_category</x:v>
      </x:c>
      <x:c r="C64" s="60" t="str">
        <x:v>rosser2025agentbreeder</x:v>
      </x:c>
      <x:c r="D64" s="60" t="str">
        <x:v>AgentBreeder: Mitigating the AI Safety Risks of Multi-Agent Scaffolds via Self-Improvement</x:v>
      </x:c>
      <x:c r="E64" s="60" t="str">
        <x:v>J Rosser; Jakob Nicolaus Foerster</x:v>
      </x:c>
      <x:c r="F64" s="60" t="str">
        <x:v>2025</x:v>
      </x:c>
      <x:c r="G64" s="60" t="str">
        <x:v>NeurIPS 2025 Main Conference, Spotlight</x:v>
      </x:c>
      <x:c r="H64" s="60" t="str">
        <x:v>Not reported</x:v>
      </x:c>
      <x:c r="I64" s="60" t="str">
        <x:v>https://proceedings.neurips.cc/paper_files/paper/2025/hash/dc2ccde7ee43e5719e08c68e848bd65a-Abstract-Conference.html</x:v>
      </x:c>
      <x:c r="J64" s="60" t="str">
        <x:v>Published NeurIPS 2025 spotlight; canonical conference title differs from the earlier arXiv title “Mitigating the AI Safety Impact of Multi-Agent Scaffolds.”</x:v>
      </x:c>
      <x:c r="K64" s="60" t="str">
        <x:v>NeurIPS official program verifies the conference title, two authors, 2025 spotlight status, and the 79.4% abstract result. Use the conference title and merge arXiv:2502.00757 as the earlier version.</x:v>
      </x:c>
      <x:c r="L64" s="60" t="str">
        <x:v>Yes as a system-design study: the unit is a generated multi-agent scaffold composed of roles, prompts, and communication structure. It is not a runtime malicious-member attack study.</x:v>
      </x:c>
      <x:c r="M64" s="60" t="str">
        <x:v>security_relevant</x:v>
      </x:c>
      <x:c r="N64" s="60" t="str">
        <x:v>security_relevant</x:v>
      </x:c>
      <x:c r="O64" s="60" t="str">
        <x:v>The work evaluates safety properties of composed agent scaffolds and searches for unsafe configurations, but its primary evidence is benchmark safety under architecture search rather than a technical runtime security threat model.</x:v>
      </x:c>
    </x:row>
    <x:row r="65">
      <x:c r="A65" s="60" t="n">
        <x:v>64</x:v>
      </x:c>
      <x:c r="B65" s="60" t="str">
        <x:v>cross_category</x:v>
      </x:c>
      <x:c r="C65" s="60" t="str">
        <x:v>mao2025agentsafe</x:v>
      </x:c>
      <x:c r="D65" s="60" t="str">
        <x:v>AgentSafe: Safeguarding Large Language Model-based Multi-agent Systems via Hierarchical Data Management</x:v>
      </x:c>
      <x:c r="E65" s="60" t="str">
        <x:v>Junyuan Mao; Fanci Meng; Yifan Duan; Miao Yu; Xiaojun Jia; Junfeng Fang; Yuxuan Liang; Kun Wang; Qingsong Wen</x:v>
      </x:c>
      <x:c r="F65" s="60" t="str">
        <x:v>2025</x:v>
      </x:c>
      <x:c r="G65" s="60" t="str">
        <x:v>arXiv preprint</x:v>
      </x:c>
      <x:c r="H65" s="60" t="str">
        <x:v>10.48550/arXiv.2503.04392</x:v>
      </x:c>
      <x:c r="I65" s="60" t="str">
        <x:v>https://arxiv.org/abs/2503.04392</x:v>
      </x:c>
      <x:c r="J65" s="60" t="str">
        <x:v>arXiv v2, 8 July 2025; no archival venue verified.</x:v>
      </x:c>
      <x:c r="K65" s="60" t="str">
        <x:v>arXiv verifies title, nine-author order, submission history, v2 status, and arXiv DOI.</x:v>
      </x:c>
      <x:c r="L65" s="60" t="str">
        <x:v>Yes. Agent identities, authority levels, inter-agent messages, and shared/persistent memory are explicit security objects.</x:v>
      </x:c>
      <x:c r="M65" s="60" t="str">
        <x:v>core_security</x:v>
      </x:c>
      <x:c r="N65" s="60" t="str">
        <x:v>core_security</x:v>
      </x:c>
      <x:c r="O65" s="60" t="str">
        <x:v>The defense enforces inter-agent authorization and memory integrity, which require separately addressable agents and cross-agent information flow.</x:v>
      </x:c>
    </x:row>
    <x:row r="66">
      <x:c r="A66" s="60" t="n">
        <x:v>65</x:v>
      </x:c>
      <x:c r="B66" s="60" t="str">
        <x:v>cross_category</x:v>
      </x:c>
      <x:c r="C66" s="60" t="str">
        <x:v>ebrahimi2025credibility</x:v>
      </x:c>
      <x:c r="D66" s="60" t="str">
        <x:v>An Adversary-Resistant Multi-Agent LLM System via Credibility Scoring</x:v>
      </x:c>
      <x:c r="E66" s="60" t="str">
        <x:v>Sana Ebrahimi; Mohsen Dehghankar; Abolfazl Asudeh</x:v>
      </x:c>
      <x:c r="F66" s="60" t="str">
        <x:v>2025</x:v>
      </x:c>
      <x:c r="G66" s="60" t="str">
        <x:v>IJCNLP-AACL 2025, pages 1676–1693</x:v>
      </x:c>
      <x:c r="H66" s="60" t="str">
        <x:v>10.18653/v1/2025.ijcnlp-long.90</x:v>
      </x:c>
      <x:c r="I66" s="60" t="str">
        <x:v>https://aclanthology.org/2025.ijcnlp-long.90/</x:v>
      </x:c>
      <x:c r="J66" s="60" t="str">
        <x:v>Published archival conference paper, December 2025.</x:v>
      </x:c>
      <x:c r="K66" s="60" t="str">
        <x:v>ACL Anthology verifies title, three-author order, proceedings, year, pages, and DOI.</x:v>
      </x:c>
      <x:c r="L66" s="60" t="str">
        <x:v>Yes. Persistent agent identities communicate iteratively and credibility-weighted aggregation changes the collective output.</x:v>
      </x:c>
      <x:c r="M66" s="60" t="str">
        <x:v>core_security</x:v>
      </x:c>
      <x:c r="N66" s="60" t="str">
        <x:v>core_security</x:v>
      </x:c>
      <x:c r="O66" s="60" t="str">
        <x:v>The protected property and defense are defined over adversarial member contributions and multi-agent aggregation.</x:v>
      </x:c>
    </x:row>
    <x:row r="67">
      <x:c r="A67" s="60" t="n">
        <x:v>66</x:v>
      </x:c>
      <x:c r="B67" s="60" t="str">
        <x:v>cross_category</x:v>
      </x:c>
      <x:c r="C67" s="60" t="str">
        <x:v>tailor2025auditwhisper</x:v>
      </x:c>
      <x:c r="D67" s="60" t="str">
        <x:v>Audit the Whisper: Detecting Steganographic Collusion in Multi-Agent LLMs</x:v>
      </x:c>
      <x:c r="E67" s="60" t="str">
        <x:v>Om Tailor</x:v>
      </x:c>
      <x:c r="F67" s="60" t="str">
        <x:v>2025</x:v>
      </x:c>
      <x:c r="G67" s="60" t="str">
        <x:v>arXiv preprint</x:v>
      </x:c>
      <x:c r="H67" s="60" t="str">
        <x:v>10.48550/arXiv.2510.04303</x:v>
      </x:c>
      <x:c r="I67" s="60" t="str">
        <x:v>https://arxiv.org/abs/2510.04303</x:v>
      </x:c>
      <x:c r="J67" s="60" t="str">
        <x:v>arXiv v2, 17 October 2025; no archival peer-reviewed venue verified.</x:v>
      </x:c>
      <x:c r="K67" s="60" t="str">
        <x:v>arXiv verifies title, sole author, v2 date, subject categories, and arXiv DOI.</x:v>
      </x:c>
      <x:c r="L67" s="60" t="str">
        <x:v>Yes. Covert coordination is defined among communicating agents relative to an auditor and evaluated across collusion settings.</x:v>
      </x:c>
      <x:c r="M67" s="60" t="str">
        <x:v>security_relevant</x:v>
      </x:c>
      <x:c r="N67" s="60" t="str">
        <x:v>core_security</x:v>
      </x:c>
      <x:c r="O67" s="60" t="str">
        <x:v>The defense, benchmark, and failure are inherently multi-party: colluding agents exploit a hidden communication channel and an auditor observes/intervenes.</x:v>
      </x:c>
    </x:row>
    <x:row r="68">
      <x:c r="A68" s="60" t="n">
        <x:v>67</x:v>
      </x:c>
      <x:c r="B68" s="60" t="str">
        <x:v>cross_category</x:v>
      </x:c>
      <x:c r="C68" s="60" t="str">
        <x:v>zou2025blocka2a</x:v>
      </x:c>
      <x:c r="D68" s="60" t="str">
        <x:v>BlockA2A: Towards Secure and Verifiable Agent-to-Agent Interoperability</x:v>
      </x:c>
      <x:c r="E68" s="60" t="str">
        <x:v>Zhenhua Zou; Zhuotao Liu; Lepeng Zhao; Qiuyang Zhan</x:v>
      </x:c>
      <x:c r="F68" s="60" t="str">
        <x:v>2025</x:v>
      </x:c>
      <x:c r="G68" s="60" t="str">
        <x:v>arXiv preprint</x:v>
      </x:c>
      <x:c r="H68" s="60" t="str">
        <x:v>10.48550/arXiv.2508.01332</x:v>
      </x:c>
      <x:c r="I68" s="60" t="str">
        <x:v>https://arxiv.org/abs/2508.01332</x:v>
      </x:c>
      <x:c r="J68" s="60" t="str">
        <x:v>arXiv v3, 21 September 2025; no archival peer-reviewed venue verified.</x:v>
      </x:c>
      <x:c r="K68" s="60" t="str">
        <x:v>arXiv verifies title, four-author order, v3 history, subjects, and arXiv DOI.</x:v>
      </x:c>
      <x:c r="L68" s="60" t="str">
        <x:v>Yes. Cross-domain agent identities, signed interactions, delegated permissions, task state, and accountability are first-class protocol objects.</x:v>
      </x:c>
      <x:c r="M68" s="60" t="str">
        <x:v>core_security</x:v>
      </x:c>
      <x:c r="N68" s="60" t="str">
        <x:v>core_security</x:v>
      </x:c>
      <x:c r="O68" s="60" t="str">
        <x:v>The proposed framework addresses identity, message integrity, authorization, Byzantine members, and incident response across explicit A2A interactions.</x:v>
      </x:c>
    </x:row>
    <x:row r="69">
      <x:c r="A69" s="60" t="n">
        <x:v>68</x:v>
      </x:c>
      <x:c r="B69" s="60" t="str">
        <x:v>cross_category</x:v>
      </x:c>
      <x:c r="C69" s="60" t="str">
        <x:v>jo2025byzantinerobust</x:v>
      </x:c>
      <x:c r="D69" s="60" t="str">
        <x:v>Byzantine-Robust Decentralized Coordination of LLM Agents</x:v>
      </x:c>
      <x:c r="E69" s="60" t="str">
        <x:v>Yongrae Jo; Chanik Park</x:v>
      </x:c>
      <x:c r="F69" s="60" t="str">
        <x:v>2025</x:v>
      </x:c>
      <x:c r="G69" s="60" t="str">
        <x:v>arXiv preprint</x:v>
      </x:c>
      <x:c r="H69" s="60" t="str">
        <x:v>10.48550/arXiv.2507.14928</x:v>
      </x:c>
      <x:c r="I69" s="60" t="str">
        <x:v>https://arxiv.org/abs/2507.14928</x:v>
      </x:c>
      <x:c r="J69" s="60" t="str">
        <x:v>arXiv v1, 20 July 2025; no archival peer-reviewed venue verified.</x:v>
      </x:c>
      <x:c r="K69" s="60" t="str">
        <x:v>arXiv verifies title, two authors, v1 date, subject categories, and arXiv DOI.</x:v>
      </x:c>
      <x:c r="L69" s="60" t="str">
        <x:v>Yes. Worker proposals, evaluator rankings, and correctness/latency under Byzantine participants are defined over decentralized agent coordination.</x:v>
      </x:c>
      <x:c r="M69" s="60" t="str">
        <x:v>core_security</x:v>
      </x:c>
      <x:c r="N69" s="60" t="str">
        <x:v>core_security</x:v>
      </x:c>
      <x:c r="O69" s="60" t="str">
        <x:v>The defense and claims directly concern malicious members, distributed aggregation, agreement/selection, and liveness in an LLM-agent protocol.</x:v>
      </x:c>
    </x:row>
    <x:row r="70">
      <x:c r="A70" s="60" t="n">
        <x:v>69</x:v>
      </x:c>
      <x:c r="B70" s="60" t="str">
        <x:v>cross_category</x:v>
      </x:c>
      <x:c r="C70" s="60" t="str">
        <x:v>wu2025cowpox</x:v>
      </x:c>
      <x:c r="D70" s="60" t="str">
        <x:v>Cowpox: Towards the Immunity of VLM-based Multi-Agent Systems</x:v>
      </x:c>
      <x:c r="E70" s="60" t="str">
        <x:v>Yutong Wu; Jie Zhang; Yiming Li; Chao Zhang; Qing Guo; Han Qiu; Nils Lukas; Tianwei Zhang</x:v>
      </x:c>
      <x:c r="F70" s="60" t="str">
        <x:v>2025</x:v>
      </x:c>
      <x:c r="G70" s="60" t="str">
        <x:v>ICML 2025, PMLR 267:68015–68035</x:v>
      </x:c>
      <x:c r="H70" s="60" t="str">
        <x:v>Not reported</x:v>
      </x:c>
      <x:c r="I70" s="60" t="str">
        <x:v>https://proceedings.mlr.press/v267/wu25aq.html</x:v>
      </x:c>
      <x:c r="J70" s="60" t="str">
        <x:v>Published peer-reviewed ICML 2025 paper.</x:v>
      </x:c>
      <x:c r="K70" s="60" t="str">
        <x:v>PMLR verifies title, eight-author order, conference, volume, pages, and year.</x:v>
      </x:c>
      <x:c r="L70" s="60" t="str">
        <x:v>Yes. Both attack and cure samples propagate over a population of stateful VLM agents; containment and recovery are system-level quantities.</x:v>
      </x:c>
      <x:c r="M70" s="60" t="str">
        <x:v>core_security</x:v>
      </x:c>
      <x:c r="N70" s="60" t="str">
        <x:v>core_security</x:v>
      </x:c>
      <x:c r="O70" s="60" t="str">
        <x:v>The defense is explicitly population-distributed and addresses infectious jailbreak spread across agent memory/communication.</x:v>
      </x:c>
    </x:row>
    <x:row r="71">
      <x:c r="A71" s="60" t="n">
        <x:v>70</x:v>
      </x:c>
      <x:c r="B71" s="60" t="str">
        <x:v>cross_category</x:v>
      </x:c>
      <x:c r="C71" s="60" t="str">
        <x:v>li2025argus</x:v>
      </x:c>
      <x:c r="D71" s="60" t="str">
        <x:v>Goal-Aware Identification and Rectification of Misinformation in Multi-Agent Systems</x:v>
      </x:c>
      <x:c r="E71" s="60" t="str">
        <x:v>Zherui Li; Yan Mi; Zhenhong Zhou; Houcheng Jiang; Guibin Zhang; Kun Wang; Junfeng Fang</x:v>
      </x:c>
      <x:c r="F71" s="60" t="str">
        <x:v>2025</x:v>
      </x:c>
      <x:c r="G71" s="60" t="str">
        <x:v>arXiv preprint</x:v>
      </x:c>
      <x:c r="H71" s="60" t="str">
        <x:v>10.48550/arXiv.2506.00509</x:v>
      </x:c>
      <x:c r="I71" s="60" t="str">
        <x:v>https://arxiv.org/abs/2506.00509</x:v>
      </x:c>
      <x:c r="J71" s="60" t="str">
        <x:v>arXiv v1, 31 May 2025; no archival venue verified.</x:v>
      </x:c>
      <x:c r="K71" s="60" t="str">
        <x:v>arXiv verifies title, seven-author order, v1 date, subject area, and arXiv DOI.</x:v>
      </x:c>
      <x:c r="L71" s="60" t="str">
        <x:v>Yes. Misinformation moves through task-oriented inter-agent information flows and the defense uses the global task goal to identify and rectify messages.</x:v>
      </x:c>
      <x:c r="M71" s="60" t="str">
        <x:v>core_security</x:v>
      </x:c>
      <x:c r="N71" s="60" t="str">
        <x:v>security_relevant</x:v>
      </x:c>
      <x:c r="O71" s="60" t="str">
        <x:v>It evaluates intentional misinformation injection and downstream multi-agent task integrity, but much of the endpoint is task performance/toxicity rather than a formal CIA/authorization property.</x:v>
      </x:c>
    </x:row>
    <x:row r="72">
      <x:c r="A72" s="60" t="n">
        <x:v>71</x:v>
      </x:c>
      <x:c r="B72" s="60" t="str">
        <x:v>cross_category</x:v>
      </x:c>
      <x:c r="C72" s="60" t="str">
        <x:v>zhou2025guardian</x:v>
      </x:c>
      <x:c r="D72" s="60" t="str">
        <x:v>GUARDIAN: Safeguarding LLM Multi-Agent Collaborations with Temporal Graph Modeling</x:v>
      </x:c>
      <x:c r="E72" s="60" t="str">
        <x:v>Jialong Zhou; Lichao Wang; Xiao Yang</x:v>
      </x:c>
      <x:c r="F72" s="60" t="str">
        <x:v>2025</x:v>
      </x:c>
      <x:c r="G72" s="60" t="str">
        <x:v>NeurIPS 2025 Main Conference Track</x:v>
      </x:c>
      <x:c r="H72" s="60" t="str">
        <x:v>Not reported</x:v>
      </x:c>
      <x:c r="I72" s="60" t="str">
        <x:v>https://proceedings.neurips.cc/paper_files/paper/2025/hash/0bc795afae289ed465a65a3b4b1f4eb7-Abstract-Conference.html</x:v>
      </x:c>
      <x:c r="J72" s="60" t="str">
        <x:v>Published peer-reviewed NeurIPS 2025 paper.</x:v>
      </x:c>
      <x:c r="K72" s="60" t="str">
        <x:v>NeurIPS proceedings and official poster page verify title, three authors, main-track publication, and 2025 status.</x:v>
      </x:c>
      <x:c r="L72" s="60" t="str">
        <x:v>Yes. The defense reconstructs temporally ordered node and edge interactions across a multi-agent graph and prunes anomalous communication.</x:v>
      </x:c>
      <x:c r="M72" s="60" t="str">
        <x:v>core_security</x:v>
      </x:c>
      <x:c r="N72" s="60" t="str">
        <x:v>core_security</x:v>
      </x:c>
      <x:c r="O72" s="60" t="str">
        <x:v>The attack/defense contract is defined over cross-agent temporal propagation and topology control.</x:v>
      </x:c>
    </x:row>
    <x:row r="73">
      <x:c r="A73" s="60" t="n">
        <x:v>72</x:v>
      </x:c>
      <x:c r="B73" s="60" t="str">
        <x:v>cross_category</x:v>
      </x:c>
      <x:c r="C73" s="60" t="str">
        <x:v>mao2025ibgp</x:v>
      </x:c>
      <x:c r="D73" s="60" t="str">
        <x:v>IBGP: Imperfect Byzantine Generals Problem for Zero-Shot Robustness in Communicative Multi-Agent Systems</x:v>
      </x:c>
      <x:c r="E73" s="60" t="str">
        <x:v>Yihuan Mao; Yipeng Kang; Peilun Li; Ning Zhang; Wei Xu; Chongjie Zhang</x:v>
      </x:c>
      <x:c r="F73" s="60" t="str">
        <x:v>2025</x:v>
      </x:c>
      <x:c r="G73" s="60" t="str">
        <x:v>AAMAS 2025 Extended Abstract, pages 2654–2656</x:v>
      </x:c>
      <x:c r="H73" s="60" t="str">
        <x:v>Not reported</x:v>
      </x:c>
      <x:c r="I73" s="60" t="str">
        <x:v>https://www.ifaamas.org/Proceedings/aamas2025/pdfs/p2654.pdf</x:v>
      </x:c>
      <x:c r="J73" s="60" t="str">
        <x:v>Published 3-page AAMAS 2025 extended abstract.</x:v>
      </x:c>
      <x:c r="K73" s="60" t="str">
        <x:v>Official AAMAS PDF verifies title, six-author list, extended-abstract status, conference dates, and 3-page length. The queue/note author list is materially wrong.</x:v>
      </x:c>
      <x:c r="L73" s="60" t="str">
        <x:v>Yes. The formal object is partial/local coordination under malicious communicative agents, with explicit n, attacker count, k-threshold, and message broadcasts.</x:v>
      </x:c>
      <x:c r="M73" s="60" t="str">
        <x:v>core_security</x:v>
      </x:c>
      <x:c r="N73" s="60" t="str">
        <x:v>security_relevant</x:v>
      </x:c>
      <x:c r="O73" s="60" t="str">
        <x:v>The paper studies adversarial coordination robustness, but its task environments and redefined partial-coordination property are broader reliability/safety and should not be treated as classical security consensus.</x:v>
      </x:c>
    </x:row>
    <x:row r="74">
      <x:c r="A74" s="60" t="n">
        <x:v>73</x:v>
      </x:c>
      <x:c r="B74" s="60" t="str">
        <x:v>cross_category</x:v>
      </x:c>
      <x:c r="C74" s="60" t="str">
        <x:v>cui2025maris</x:v>
      </x:c>
      <x:c r="D74" s="60" t="str">
        <x:v>Maris: A Formally Verifiable Privacy Policy Enforcement Paradigm for Multi-Agent Collaboration Systems</x:v>
      </x:c>
      <x:c r="E74" s="60" t="str">
        <x:v>Jian Cui; Zichuan Li; Chi Wang; Luyi Xing; Xiaojing Liao</x:v>
      </x:c>
      <x:c r="F74" s="60" t="str">
        <x:v>2025</x:v>
      </x:c>
      <x:c r="G74" s="60" t="str">
        <x:v>arXiv preprint</x:v>
      </x:c>
      <x:c r="H74" s="60" t="str">
        <x:v>10.48550/arXiv.2505.04799</x:v>
      </x:c>
      <x:c r="I74" s="60" t="str">
        <x:v>https://arxiv.org/abs/2505.04799</x:v>
      </x:c>
      <x:c r="J74" s="60" t="str">
        <x:v>arXiv v5, 8 June 2026; no archival venue verified.</x:v>
      </x:c>
      <x:c r="K74" s="60" t="str">
        <x:v>arXiv verifies title, five-author order, v5 history, subject category, and arXiv DOI.</x:v>
      </x:c>
      <x:c r="L74" s="60" t="str">
        <x:v>Yes. Maris mediates privacy-sensitive flows among agents, LLM endpoints, tools, and users using principal-specific policies.</x:v>
      </x:c>
      <x:c r="M74" s="60" t="str">
        <x:v>core_security</x:v>
      </x:c>
      <x:c r="N74" s="60" t="str">
        <x:v>core_security</x:v>
      </x:c>
      <x:c r="O74" s="60" t="str">
        <x:v>The protected property is cross-principal confidentiality/contextual integrity and the enforcement boundary is explicitly multi-agent communication/tool flow.</x:v>
      </x:c>
    </x:row>
    <x:row r="75">
      <x:c r="A75" s="60" t="n">
        <x:v>74</x:v>
      </x:c>
      <x:c r="B75" s="60" t="str">
        <x:v>cross_category</x:v>
      </x:c>
      <x:c r="C75" s="60" t="str">
        <x:v>he2025atrust</x:v>
      </x:c>
      <x:c r="D75" s="60" t="str">
        <x:v>To trust or not to trust: Attention-based Trust Management for LLM Multi-Agent Systems</x:v>
      </x:c>
      <x:c r="E75" s="60" t="str">
        <x:v>Pengfei He; Zhenwei Dai; Xianfeng Tang; Yue Xing; Hui Liu; Jingying Zeng; Qiankun Peng; Shrivats Agrawal; Samarth Varshney; Suhang Wang; Jiliang Tang; Qi He</x:v>
      </x:c>
      <x:c r="F75" s="60" t="str">
        <x:v>2025</x:v>
      </x:c>
      <x:c r="G75" s="60" t="str">
        <x:v>arXiv preprint; arXiv comments claim acceptance to ACL 2026 main</x:v>
      </x:c>
      <x:c r="H75" s="60" t="str">
        <x:v>10.48550/arXiv.2506.02546</x:v>
      </x:c>
      <x:c r="I75" s="60" t="str">
        <x:v>https://arxiv.org/abs/2506.02546</x:v>
      </x:c>
      <x:c r="J75" s="60" t="str">
        <x:v>arXiv v2, 14 April 2026. An official ACL Anthology record was not located in this audit, so publication status remains unverified beyond the arXiv comment.</x:v>
      </x:c>
      <x:c r="K75" s="60" t="str">
        <x:v>arXiv verifies title, twelve-author order, v2 date, and acceptance comment. Do not upgrade venue to ACL until an official proceedings record is matched.</x:v>
      </x:c>
      <x:c r="L75" s="60" t="str">
        <x:v>Yes. The method scores incoming peer messages and persistent agent trust, then filters/down-weights them during collaboration.</x:v>
      </x:c>
      <x:c r="M75" s="60" t="str">
        <x:v>security_relevant</x:v>
      </x:c>
      <x:c r="N75" s="60" t="str">
        <x:v>security_relevant</x:v>
      </x:c>
      <x:c r="O75" s="60" t="str">
        <x:v>It addresses malicious/unreliable message influence, but the taxonomy mixes deception, toxicity, irrelevance, low quality, and reliability; claim-level security coding is required.</x:v>
      </x:c>
    </x:row>
    <x:row r="76">
      <x:c r="A76" s="60" t="n">
        <x:v>75</x:v>
      </x:c>
      <x:c r="B76" s="60" t="str">
        <x:v>cross_category</x:v>
      </x:c>
      <x:c r="C76" s="60" t="str">
        <x:v>rabieinejad2026alteda</x:v>
      </x:c>
      <x:c r="D76" s="60" t="str">
        <x:v>Beyond the prompt: Log-based threat detection and attribution for multi-Agent LLMs</x:v>
      </x:c>
      <x:c r="E76" s="60" t="str">
        <x:v>Elnaz Rabieinejad; Fattane Zarrinkalam; Ali Dehghantanha</x:v>
      </x:c>
      <x:c r="F76" s="60" t="str">
        <x:v>2026</x:v>
      </x:c>
      <x:c r="G76" s="60" t="str">
        <x:v>Information Processing &amp; Management 63(6), Article 104768</x:v>
      </x:c>
      <x:c r="H76" s="60" t="str">
        <x:v>10.1016/j.ipm.2026.104768</x:v>
      </x:c>
      <x:c r="I76" s="60" t="str">
        <x:v>https://doi.org/10.1016/j.ipm.2026.104768</x:v>
      </x:c>
      <x:c r="J76" s="60" t="str">
        <x:v>Published peer-reviewed journal article.</x:v>
      </x:c>
      <x:c r="K76" s="60" t="str">
        <x:v>ScienceDirect/DOI metadata verify the published title, three authors, journal, volume/issue, article number, and DOI. The queue title ALTEDA is the framework name, not the canonical paper title.</x:v>
      </x:c>
      <x:c r="L76" s="60" t="str">
        <x:v>Yes. ALTEDA correlates application, network, and system telemetry across interacting agents and attributes detections to responsible agents/interactions.</x:v>
      </x:c>
      <x:c r="M76" s="60" t="str">
        <x:v>core_security</x:v>
      </x:c>
      <x:c r="N76" s="60" t="str">
        <x:v>core_security</x:v>
      </x:c>
      <x:c r="O76" s="60" t="str">
        <x:v>The contribution directly detects cross-agent attack traces and attribution from global execution telemetry.</x:v>
      </x:c>
    </x:row>
    <x:row r="77">
      <x:c r="A77" s="60" t="n">
        <x:v>76</x:v>
      </x:c>
      <x:c r="B77" s="60" t="str">
        <x:v>cross_category</x:v>
      </x:c>
      <x:c r="C77" s="60" t="str">
        <x:v>miao2026blindguard</x:v>
      </x:c>
      <x:c r="D77" s="60" t="str">
        <x:v>BlindGuard: Safeguarding LLM-based Multi-Agent Systems under Unknown Attacks</x:v>
      </x:c>
      <x:c r="E77" s="60" t="str">
        <x:v>Rui Miao; Yixin Liu; Yili Wang; Xu Shen; Yue Tan; Yiwei Dai; Shirui Pan; Xin Wang</x:v>
      </x:c>
      <x:c r="F77" s="60" t="str">
        <x:v>2026</x:v>
      </x:c>
      <x:c r="G77" s="60" t="str">
        <x:v>ACL 2026, pages 39215–39234</x:v>
      </x:c>
      <x:c r="H77" s="60" t="str">
        <x:v>10.18653/v1/2026.acl-long.1819</x:v>
      </x:c>
      <x:c r="I77" s="60" t="str">
        <x:v>https://aclanthology.org/2026.acl-long.1819/</x:v>
      </x:c>
      <x:c r="J77" s="60" t="str">
        <x:v>Published ACL 2026 long paper.</x:v>
      </x:c>
      <x:c r="K77" s="60" t="str">
        <x:v>ACL Anthology verifies title, eight-author order, year, pages, and DOI.</x:v>
      </x:c>
      <x:c r="L77" s="60" t="str">
        <x:v>Yes. Detection combines individual, neighborhood, and global graph context and remediation prunes edges incident to predicted malicious agents.</x:v>
      </x:c>
      <x:c r="M77" s="60" t="str">
        <x:v>core_security</x:v>
      </x:c>
      <x:c r="N77" s="60" t="str">
        <x:v>core_security</x:v>
      </x:c>
      <x:c r="O77" s="60" t="str">
        <x:v>Threats propagate through inter-agent communication, and both detection and containment require graph-wide observation/control.</x:v>
      </x:c>
    </x:row>
    <x:row r="78">
      <x:c r="A78" s="60" t="n">
        <x:v>77</x:v>
      </x:c>
      <x:c r="B78" s="60" t="str">
        <x:v>cross_category</x:v>
      </x:c>
      <x:c r="C78" s="60" t="str">
        <x:v>pan2026xgguard</x:v>
      </x:c>
      <x:c r="D78" s="60" t="str">
        <x:v>Explainable and Fine-Grained Safeguarding of LLM Multi-Agent Systems via Bi-Level Graph Anomaly Detection</x:v>
      </x:c>
      <x:c r="E78" s="60" t="str">
        <x:v>Junjun Pan; Yixin Liu; Rui Miao; Kaize Ding; Yu Zheng; Quoc Viet Hung Nguyen; Alan Wee-Chung Liew; Shirui Pan</x:v>
      </x:c>
      <x:c r="F78" s="60" t="str">
        <x:v>2026</x:v>
      </x:c>
      <x:c r="G78" s="60" t="str">
        <x:v>ACL 2026, pages 30491–30506</x:v>
      </x:c>
      <x:c r="H78" s="60" t="str">
        <x:v>10.18653/v1/2026.acl-long.1407</x:v>
      </x:c>
      <x:c r="I78" s="60" t="str">
        <x:v>https://aclanthology.org/2026.acl-long.1407/</x:v>
      </x:c>
      <x:c r="J78" s="60" t="str">
        <x:v>Published ACL 2026 long paper.</x:v>
      </x:c>
      <x:c r="K78" s="60" t="str">
        <x:v>ACL Anthology verifies title, eight-author order, year, pages, and DOI.</x:v>
      </x:c>
      <x:c r="L78" s="60" t="str">
        <x:v>Yes. The detector jointly models text and graph neighborhoods and localizes malicious responses/agents in interacting MAS.</x:v>
      </x:c>
      <x:c r="M78" s="60" t="str">
        <x:v>core_security</x:v>
      </x:c>
      <x:c r="N78" s="60" t="str">
        <x:v>core_security</x:v>
      </x:c>
      <x:c r="O78" s="60" t="str">
        <x:v>Detection and remediation are defined over compromised members, response flows, and communication topology.</x:v>
      </x:c>
    </x:row>
    <x:row r="79">
      <x:c r="A79" s="60" t="n">
        <x:v>78</x:v>
      </x:c>
      <x:c r="B79" s="60" t="str">
        <x:v>cross_category</x:v>
      </x:c>
      <x:c r="C79" s="60" t="str">
        <x:v>tapwal2026prism</x:v>
      </x:c>
      <x:c r="D79" s="60" t="str">
        <x:v>PRISM: Generation-Time Detection and Mitigation of Secret Leakage in Multi-Agent LLM Pipelines</x:v>
      </x:c>
      <x:c r="E79" s="60" t="str">
        <x:v>Riya Tapwal; Abhishek Kumar; Carsten Maple</x:v>
      </x:c>
      <x:c r="F79" s="60" t="str">
        <x:v>2026</x:v>
      </x:c>
      <x:c r="G79" s="60" t="str">
        <x:v>arXiv preprint</x:v>
      </x:c>
      <x:c r="H79" s="60" t="str">
        <x:v>10.48550/arXiv.2605.10614</x:v>
      </x:c>
      <x:c r="I79" s="60" t="str">
        <x:v>https://arxiv.org/abs/2605.10614</x:v>
      </x:c>
      <x:c r="J79" s="60" t="str">
        <x:v>arXiv v1, 11 May 2026; no archival venue verified.</x:v>
      </x:c>
      <x:c r="K79" s="60" t="str">
        <x:v>arXiv verifies title, three authors, v1 date, and arXiv DOI. The rendered arXiv line “by Riya Tapwal and 1 other authors” is an interface anomaly; the author list clearly contains three.</x:v>
      </x:c>
      <x:c r="L79" s="60" t="str">
        <x:v>Yes. The four-agent heterogeneous pipeline repeatedly exposes credential-bearing context to downstream generators and the defense accumulates risk across stages/tokens.</x:v>
      </x:c>
      <x:c r="M79" s="60" t="str">
        <x:v>core_security</x:v>
      </x:c>
      <x:c r="N79" s="60" t="str">
        <x:v>core_security</x:v>
      </x:c>
      <x:c r="O79" s="60" t="str">
        <x:v>The protected property is cross-agent secret confidentiality and the threat/defense depends on pipeline propagation across agent boundaries.</x:v>
      </x:c>
    </x:row>
    <x:row r="80">
      <x:c r="A80" s="60" t="n">
        <x:v>79</x:v>
      </x:c>
      <x:c r="B80" s="60" t="str">
        <x:v>cross_category</x:v>
      </x:c>
      <x:c r="C80" s="60" t="str">
        <x:v>darabi2026bioautonomic</x:v>
      </x:c>
      <x:c r="D80" s="60" t="str">
        <x:v>Resilience in Ambient Multi-Agent LLMs via Decentralized Bio-Autonomic Control and Immune-Inspired Anomaly Detection</x:v>
      </x:c>
      <x:c r="E80" s="60" t="str">
        <x:v>Nastaran Darabi; Devashri Naik; Sina Tayebati; Dinithi Jayasuriya; Amit Ranjan Trivedi</x:v>
      </x:c>
      <x:c r="F80" s="60" t="n">
        <x:v>2026</x:v>
      </x:c>
      <x:c r="G80" s="60" t="str">
        <x:v>AAAI 2026, Special Track on AI Alignment, 40(44):37332-37340</x:v>
      </x:c>
      <x:c r="H80" s="60" t="str">
        <x:v>10.1609/aaai.v40i44.41065</x:v>
      </x:c>
      <x:c r="I80" s="60" t="str">
        <x:v>https://ojs.aaai.org/index.php/AAAI/article/view/41065</x:v>
      </x:c>
      <x:c r="J80" s="60" t="str">
        <x:v>Published AAAI 2026 archival version; official article metadata verified.</x:v>
      </x:c>
      <x:c r="K80" s="60" t="str">
        <x:v>verified_published</x:v>
      </x:c>
      <x:c r="L80" s="60" t="str">
        <x:v>yes: decentralized LLM agents exchange trust evidence and collectively respond to compromised peers</x:v>
      </x:c>
      <x:c r="M80" s="60" t="str">
        <x:v>security_relevant</x:v>
      </x:c>
      <x:c r="N80" s="60" t="str">
        <x:v>security_relevant</x:v>
      </x:c>
      <x:c r="O80" s="60" t="str">
        <x:v>The paper mixes fault resilience, anomaly detection, privacy-preserving adaptation, and malicious-agent/control-flow scenarios. The interaction is genuine, but not every evaluated perturbation is adversarial security.</x:v>
      </x:c>
    </x:row>
    <x:row r="81">
      <x:c r="A81" s="60" t="n">
        <x:v>80</x:v>
      </x:c>
      <x:c r="B81" s="60" t="str">
        <x:v>cross_category</x:v>
      </x:c>
      <x:c r="C81" s="60" t="str">
        <x:v>zhou2026resmas</x:v>
      </x:c>
      <x:c r="D81" s="60" t="str">
        <x:v>ResMAS: Resilience Optimization in LLM-based Multi-agent Systems</x:v>
      </x:c>
      <x:c r="E81" s="60" t="str">
        <x:v>Zhilun Zhou; Zihan Liu; Jiahe Liu; Qingyu Shao; Yihan Wang; Kun Shao; Depeng Jin; Fengli Xu</x:v>
      </x:c>
      <x:c r="F81" s="60" t="n">
        <x:v>2026</x:v>
      </x:c>
      <x:c r="G81" s="60" t="str">
        <x:v>AAAI 2026, 40(41):35176-35184</x:v>
      </x:c>
      <x:c r="H81" s="60" t="str">
        <x:v>10.1609/aaai.v40i41.40824</x:v>
      </x:c>
      <x:c r="I81" s="60" t="str">
        <x:v>https://ojs.aaai.org/index.php/AAAI/article/view/40824</x:v>
      </x:c>
      <x:c r="J81" s="60" t="str">
        <x:v>Published AAAI 2026 archival version; arXiv 2601.04694 is prepublication full text.</x:v>
      </x:c>
      <x:c r="K81" s="60" t="str">
        <x:v>verified_published</x:v>
      </x:c>
      <x:c r="L81" s="60" t="str">
        <x:v>yes: topology and distributed prompts among multiple LLM agents are the experimental variables</x:v>
      </x:c>
      <x:c r="M81" s="60" t="str">
        <x:v>security_relevant</x:v>
      </x:c>
      <x:c r="N81" s="60" t="str">
        <x:v>security_relevant</x:v>
      </x:c>
      <x:c r="O81" s="60" t="str">
        <x:v>Primary perturbations are random agent failures and general resilience, not consistently malicious adversaries. It is important design-time robustness evidence but should not be treated as a pure attack-defense paper.</x:v>
      </x:c>
    </x:row>
    <x:row r="82">
      <x:c r="A82" s="60" t="n">
        <x:v>81</x:v>
      </x:c>
      <x:c r="B82" s="60" t="str">
        <x:v>cross_category</x:v>
      </x:c>
      <x:c r="C82" s="60" t="str">
        <x:v>shi2026saiguard</x:v>
      </x:c>
      <x:c r="D82" s="60" t="str">
        <x:v>SAIGuard: Communication-State Simulation for Proactive Defense of LLM Multi-Agent Systems</x:v>
      </x:c>
      <x:c r="E82" s="60" t="str">
        <x:v>Ruxue Shi; Yili Wang; Mengnan Du; Qinggang Zhang; Rui Miao; Yixin Liu; Xin Wang</x:v>
      </x:c>
      <x:c r="F82" s="60" t="n">
        <x:v>2026</x:v>
      </x:c>
      <x:c r="G82" s="60" t="str">
        <x:v>arXiv preprint</x:v>
      </x:c>
      <x:c r="H82" s="60" t="str">
        <x:v>10.48550/arXiv.2606.12474</x:v>
      </x:c>
      <x:c r="I82" s="60" t="str">
        <x:v>https://arxiv.org/abs/2606.12474</x:v>
      </x:c>
      <x:c r="J82" s="60" t="str">
        <x:v>arXiv v1; no archival publication verified</x:v>
      </x:c>
      <x:c r="K82" s="60" t="str">
        <x:v>verified_preprint</x:v>
      </x:c>
      <x:c r="L82" s="60" t="str">
        <x:v>yes: message effects are simulated over a graph before delivery</x:v>
      </x:c>
      <x:c r="M82" s="60" t="str">
        <x:v>core_security</x:v>
      </x:c>
      <x:c r="N82" s="60" t="str">
        <x:v>core_security</x:v>
      </x:c>
      <x:c r="O82" s="60" t="str">
        <x:v>The defense directly targets malicious messages and cross-agent propagation in graph-structured LLM MAS.</x:v>
      </x:c>
    </x:row>
    <x:row r="83">
      <x:c r="A83" s="60" t="n">
        <x:v>82</x:v>
      </x:c>
      <x:c r="B83" s="60" t="str">
        <x:v>cross_category</x:v>
      </x:c>
      <x:c r="C83" s="60" t="str">
        <x:v>feng2026sentinelnet</x:v>
      </x:c>
      <x:c r="D83" s="60" t="str">
        <x:v>SentinelNet: Safeguarding Multi-Agent Collaboration Through Credit-Based Dynamic Threat Detection</x:v>
      </x:c>
      <x:c r="E83" s="60" t="str">
        <x:v>Yang Feng; Xudong Pan</x:v>
      </x:c>
      <x:c r="F83" s="60" t="n">
        <x:v>2026</x:v>
      </x:c>
      <x:c r="G83" s="60" t="str">
        <x:v>The ACM Web Conference 2026, pp.3135-3146</x:v>
      </x:c>
      <x:c r="H83" s="60" t="str">
        <x:v>10.1145/3774904.3792462</x:v>
      </x:c>
      <x:c r="I83" s="60" t="str">
        <x:v>https://doi.org/10.1145/3774904.3792462</x:v>
      </x:c>
      <x:c r="J83" s="60" t="str">
        <x:v>Published WWW 2026 archival version; arXiv 2510.16219 is author preprint</x:v>
      </x:c>
      <x:c r="K83" s="60" t="str">
        <x:v>verified_published</x:v>
      </x:c>
      <x:c r="L83" s="60" t="str">
        <x:v>yes: each agent scores neighbor messages and changes local topology</x:v>
      </x:c>
      <x:c r="M83" s="60" t="str">
        <x:v>core_security</x:v>
      </x:c>
      <x:c r="N83" s="60" t="str">
        <x:v>core_security</x:v>
      </x:c>
      <x:c r="O83" s="60" t="str">
        <x:v>Direct malicious-member detection and mitigation in LLM multi-agent debate.</x:v>
      </x:c>
    </x:row>
    <x:row r="84">
      <x:c r="A84" s="60" t="n">
        <x:v>83</x:v>
      </x:c>
      <x:c r="B84" s="60" t="str">
        <x:v>cross_category</x:v>
      </x:c>
      <x:c r="C84" s="60" t="str">
        <x:v>huang2026toposhield</x:v>
      </x:c>
      <x:c r="D84" s="60" t="str">
        <x:v>TopoSHIELD: Reshaping the Flow of Malice via Spatio-Temporal Risk-Aware Topological Evolution in Multi-Agent Systems</x:v>
      </x:c>
      <x:c r="E84" s="60" t="str">
        <x:v>Ruiyang Huang; Chenxi Wang; Tinghe Zhang; Fengrui Liu; Jiayan Sun; Haocheng Wang; Yifan Wu</x:v>
      </x:c>
      <x:c r="F84" s="60" t="n">
        <x:v>2026</x:v>
      </x:c>
      <x:c r="G84" s="60" t="str">
        <x:v>Findings of ACL 2026, pp.8740-8768</x:v>
      </x:c>
      <x:c r="H84" s="60" t="str">
        <x:v>10.18653/v1/2026.findings-acl.426</x:v>
      </x:c>
      <x:c r="I84" s="60" t="str">
        <x:v>https://aclanthology.org/2026.findings-acl.426/</x:v>
      </x:c>
      <x:c r="J84" s="60" t="str">
        <x:v>Published Findings of ACL 2026 archival version</x:v>
      </x:c>
      <x:c r="K84" s="60" t="str">
        <x:v>verified_published</x:v>
      </x:c>
      <x:c r="L84" s="60" t="str">
        <x:v>yes: defense estimates temporal graph risk and edits inter-agent edges/communities</x:v>
      </x:c>
      <x:c r="M84" s="60" t="str">
        <x:v>core_security</x:v>
      </x:c>
      <x:c r="N84" s="60" t="str">
        <x:v>core_security</x:v>
      </x:c>
      <x:c r="O84" s="60" t="str">
        <x:v>Directly protects LLM MAS against malicious injection diffusion over communication graphs.</x:v>
      </x:c>
    </x:row>
    <x:row r="85">
      <x:c r="A85" s="60" t="n">
        <x:v>84</x:v>
      </x:c>
      <x:c r="B85" s="60" t="str">
        <x:v>cross_category</x:v>
      </x:c>
      <x:c r="C85" s="60" t="str">
        <x:v>juneja2025magpie</x:v>
      </x:c>
      <x:c r="D85" s="60" t="str">
        <x:v>MAGPIE: A benchmark for Multi-AGent contextual PrIvacy Evaluation</x:v>
      </x:c>
      <x:c r="E85" s="60" t="str">
        <x:v>Gurusha Juneja; Jayanth Naga Sai Pasupulati; Alon Albalak; Wenyue Hua; William Yang Wang</x:v>
      </x:c>
      <x:c r="F85" s="60" t="n">
        <x:v>2025</x:v>
      </x:c>
      <x:c r="G85" s="60" t="str">
        <x:v>NeurIPS 2025 Workshop on Socially Responsible and Trustworthy Foundation Models</x:v>
      </x:c>
      <x:c r="H85" s="60" t="str"/>
      <x:c r="I85" s="60" t="str">
        <x:v>https://nips.cc/virtual/2025/workshop/127834</x:v>
      </x:c>
      <x:c r="J85" s="60" t="str">
        <x:v>Canonical 200-task workshop/arXiv 2510.15186 version; supersedes earlier 158-scenario arXiv 2506.20737 with four authors and different title wording.</x:v>
      </x:c>
      <x:c r="K85" s="60" t="str">
        <x:v>verified_workshop_version_with_version_merge</x:v>
      </x:c>
      <x:c r="L85" s="60" t="str">
        <x:v>yes: role-specialized agents exchange information under contextual authorization constraints</x:v>
      </x:c>
      <x:c r="M85" s="60" t="str">
        <x:v>core_security</x:v>
      </x:c>
      <x:c r="N85" s="60" t="str">
        <x:v>core_security</x:v>
      </x:c>
      <x:c r="O85" s="60" t="str">
        <x:v>Privacy/confidentiality is the primary evaluated property, and violations arise through role-relative inter-agent disclosure even though scenarios are non-adversarial.</x:v>
      </x:c>
    </x:row>
    <x:row r="86">
      <x:c r="A86" s="60" t="n">
        <x:v>85</x:v>
      </x:c>
      <x:c r="B86" s="60" t="str">
        <x:v>cross_category</x:v>
      </x:c>
      <x:c r="C86" s="60" t="str">
        <x:v>chen2025medsentry</x:v>
      </x:c>
      <x:c r="D86" s="60" t="str">
        <x:v>MedSentry: Understanding and Mitigating Safety Risks in Medical LLM Multi-Agent Systems</x:v>
      </x:c>
      <x:c r="E86" s="60" t="str">
        <x:v>Kai Chen; Taihang Zhen; Hewei Wang; Kailai Liu; Xinfeng Li; Jing Huo; Tianpei Yang; Jinfeng Xu; Wei Dong; Yang Gao</x:v>
      </x:c>
      <x:c r="F86" s="60" t="n">
        <x:v>2025</x:v>
      </x:c>
      <x:c r="G86" s="60" t="str">
        <x:v>arXiv preprint</x:v>
      </x:c>
      <x:c r="H86" s="60" t="str">
        <x:v>10.48550/arXiv.2505.20824</x:v>
      </x:c>
      <x:c r="I86" s="60" t="str">
        <x:v>https://arxiv.org/abs/2505.20824</x:v>
      </x:c>
      <x:c r="J86" s="60" t="str">
        <x:v>arXiv v1; ICLR 2026 submission was not verified as accepted</x:v>
      </x:c>
      <x:c r="K86" s="60" t="str">
        <x:v>verified_preprint_not_accepted</x:v>
      </x:c>
      <x:c r="L86" s="60" t="str">
        <x:v>yes: one malicious insider influences a fixed five-agent medical team across four topologies</x:v>
      </x:c>
      <x:c r="M86" s="60" t="str">
        <x:v>core_security</x:v>
      </x:c>
      <x:c r="N86" s="60" t="str">
        <x:v>core_security</x:v>
      </x:c>
      <x:c r="O86" s="60" t="str">
        <x:v>Explicit malicious-member attack and topology-aware defense in an LLM MAS.</x:v>
      </x:c>
    </x:row>
    <x:row r="87">
      <x:c r="A87" s="60" t="n">
        <x:v>86</x:v>
      </x:c>
      <x:c r="B87" s="60" t="str">
        <x:v>cross_category</x:v>
      </x:c>
      <x:c r="C87" s="60" t="str">
        <x:v>an2026aciarena</x:v>
      </x:c>
      <x:c r="D87" s="60" t="str">
        <x:v>ACIARena: Toward Unified Evaluation for Agent Cascading Injection</x:v>
      </x:c>
      <x:c r="E87" s="60" t="str">
        <x:v>Hengyu An; Minxi Li; Jinghuai Zhang; Naen Xu; Chunyi Zhou; Changjiang Li; Xiaogang Xu; Tianyu Du; Shouling Ji</x:v>
      </x:c>
      <x:c r="F87" s="60" t="n">
        <x:v>2026</x:v>
      </x:c>
      <x:c r="G87" s="60" t="str">
        <x:v>ACL 2026</x:v>
      </x:c>
      <x:c r="H87" s="60" t="str">
        <x:v>10.18653/v1/2026.acl-long.457</x:v>
      </x:c>
      <x:c r="I87" s="60" t="str">
        <x:v>https://aclanthology.org/2026.acl-long.457/</x:v>
      </x:c>
      <x:c r="J87" s="60" t="str">
        <x:v>Published ACL 2026 archival version</x:v>
      </x:c>
      <x:c r="K87" s="60" t="str">
        <x:v>verified_published</x:v>
      </x:c>
      <x:c r="L87" s="60" t="str">
        <x:v>yes: compromised content or agents transmit injected instructions over trusted inter-agent edges</x:v>
      </x:c>
      <x:c r="M87" s="60" t="str">
        <x:v>core_security</x:v>
      </x:c>
      <x:c r="N87" s="60" t="str">
        <x:v>core_security</x:v>
      </x:c>
      <x:c r="O87" s="60" t="str">
        <x:v>The benchmark is explicitly about cascading injection in LLM MAS.</x:v>
      </x:c>
    </x:row>
    <x:row r="88">
      <x:c r="A88" s="60" t="n">
        <x:v>87</x:v>
      </x:c>
      <x:c r="B88" s="60" t="str">
        <x:v>cross_category</x:v>
      </x:c>
      <x:c r="C88" s="60" t="str">
        <x:v>elyagoubi2026agentleak</x:v>
      </x:c>
      <x:c r="D88" s="60" t="str">
        <x:v>AgentLeak: A Benchmark for Internal-Channel Privacy Leakage in Multi-Agent LLM Systems</x:v>
      </x:c>
      <x:c r="E88" s="60" t="str">
        <x:v>Faouzi El Yagoubi; Godwin Badu-Marfo; Ranwa Al Mallah</x:v>
      </x:c>
      <x:c r="F88" s="60" t="n">
        <x:v>2026</x:v>
      </x:c>
      <x:c r="G88" s="60" t="str">
        <x:v>IEEE Access 2026</x:v>
      </x:c>
      <x:c r="H88" s="60" t="str">
        <x:v>10.1109/ACCESS.2026.3704541</x:v>
      </x:c>
      <x:c r="I88" s="60" t="str">
        <x:v>https://doi.org/10.1109/ACCESS.2026.3704541</x:v>
      </x:c>
      <x:c r="J88" s="60" t="str">
        <x:v>Published IEEE Access version; earlier arXiv title/order variants must be merged</x:v>
      </x:c>
      <x:c r="K88" s="60" t="str">
        <x:v>verified_published</x:v>
      </x:c>
      <x:c r="L88" s="60" t="str">
        <x:v>yes: coordinator-worker delegation creates internal message and shared-memory channels</x:v>
      </x:c>
      <x:c r="M88" s="60" t="str">
        <x:v>core_security</x:v>
      </x:c>
      <x:c r="N88" s="60" t="str">
        <x:v>core_security</x:v>
      </x:c>
      <x:c r="O88" s="60" t="str">
        <x:v>The primary object is cross-channel confidentiality in LLM MAS.</x:v>
      </x:c>
    </x:row>
    <x:row r="89">
      <x:c r="A89" s="60" t="n">
        <x:v>88</x:v>
      </x:c>
      <x:c r="B89" s="60" t="str">
        <x:v>cross_category</x:v>
      </x:c>
      <x:c r="C89" s="60" t="str">
        <x:v>nother2026badacts</x:v>
      </x:c>
      <x:c r="D89" s="60" t="str">
        <x:v>Benchmarking the Robustness of Agentic Systems to Adversarially-Induced Harmful Behaviors</x:v>
      </x:c>
      <x:c r="E89" s="60" t="str">
        <x:v>Jonathan Nöther; Adish Singla; Goran Radanovic</x:v>
      </x:c>
      <x:c r="F89" s="60" t="n">
        <x:v>2026</x:v>
      </x:c>
      <x:c r="G89" s="60" t="str">
        <x:v>COLM 2026</x:v>
      </x:c>
      <x:c r="H89" s="60" t="str"/>
      <x:c r="I89" s="60" t="str">
        <x:v>https://colmweb.org/AcceptedPapers.html</x:v>
      </x:c>
      <x:c r="J89" s="60" t="str">
        <x:v>Accepted COLM 2026 version; merge earlier arXiv/title variants and use accepted counts</x:v>
      </x:c>
      <x:c r="K89" s="60" t="str">
        <x:v>verified_accepted_conference</x:v>
      </x:c>
      <x:c r="L89" s="60" t="str">
        <x:v>yes for MAS environments: one malicious member persuades peers through legitimate communication; benchmark also spans broader agentic systems</x:v>
      </x:c>
      <x:c r="M89" s="60" t="str">
        <x:v>security_relevant</x:v>
      </x:c>
      <x:c r="N89" s="60" t="str">
        <x:v>core_security</x:v>
      </x:c>
      <x:c r="O89" s="60" t="str">
        <x:v>Explicit adversarial member, harmful tool-mediated actions, and multiple MAS architectures, though some environments may not be equally multiagent.</x:v>
      </x:c>
    </x:row>
    <x:row r="90">
      <x:c r="A90" s="60" t="n">
        <x:v>89</x:v>
      </x:c>
      <x:c r="B90" s="60" t="str">
        <x:v>cross_category</x:v>
      </x:c>
      <x:c r="C90" s="60" t="str">
        <x:v>zhao2026macbench</x:v>
      </x:c>
      <x:c r="D90" s="60" t="str">
        <x:v>Beyond Goodhart's Law: A Dynamic Benchmark for Evaluating Compliance in Multi-Agent Systems</x:v>
      </x:c>
      <x:c r="E90" s="60" t="str">
        <x:v>Yiyang Zhao; Zhuo Zhang; Qingxuan Le; Lizhen Qu; Zenglin Xu</x:v>
      </x:c>
      <x:c r="F90" s="60" t="n">
        <x:v>2026</x:v>
      </x:c>
      <x:c r="G90" s="60" t="str">
        <x:v>arXiv preprint</x:v>
      </x:c>
      <x:c r="H90" s="60" t="str">
        <x:v>10.48550/arXiv.2606.07805</x:v>
      </x:c>
      <x:c r="I90" s="60" t="str">
        <x:v>https://arxiv.org/abs/2606.07805</x:v>
      </x:c>
      <x:c r="J90" s="60" t="str">
        <x:v>arXiv v1; no archival publication verified</x:v>
      </x:c>
      <x:c r="K90" s="60" t="str">
        <x:v>verified_preprint</x:v>
      </x:c>
      <x:c r="L90" s="60" t="str">
        <x:v>partly: main evaluation includes AutoGen and other MAS architectures, but the benchmark also compares single-agent ReAct and broader agentic systems</x:v>
      </x:c>
      <x:c r="M90" s="60" t="str">
        <x:v>security_relevant</x:v>
      </x:c>
      <x:c r="N90" s="60" t="str">
        <x:v>security_relevant</x:v>
      </x:c>
      <x:c r="O90" s="60" t="str">
        <x:v>Procedural compliance, authorization, privacy, and trace integrity are security-relevant, but the work is not exclusively MAS and many violations are governance/compliance rather than adversarial security.</x:v>
      </x:c>
    </x:row>
    <x:row r="91">
      <x:c r="A91" s="60" t="n">
        <x:v>90</x:v>
      </x:c>
      <x:c r="B91" s="60" t="str">
        <x:v>cross_category</x:v>
      </x:c>
      <x:c r="C91" s="60" t="str">
        <x:v>zou2026calbench</x:v>
      </x:c>
      <x:c r="D91" s="60" t="str">
        <x:v>CalBench: Evaluating Coordination-Privacy Trade-offs in Multi-Agent LLMs</x:v>
      </x:c>
      <x:c r="E91" s="60" t="str">
        <x:v>Chelsea Zou; Yiheng Yao; Selena She; Noah D. Goodman; Robert D. Hawkins</x:v>
      </x:c>
      <x:c r="F91" s="60" t="n">
        <x:v>2026</x:v>
      </x:c>
      <x:c r="G91" s="60" t="str">
        <x:v>arXiv preprint</x:v>
      </x:c>
      <x:c r="H91" s="60" t="str">
        <x:v>10.48550/arXiv.2605.09823</x:v>
      </x:c>
      <x:c r="I91" s="60" t="str">
        <x:v>https://arxiv.org/abs/2605.09823</x:v>
      </x:c>
      <x:c r="J91" s="60" t="str">
        <x:v>arXiv current full text; metadata header lists four authors while PDF title block lists five including Noah D. Goodman—canonical author list requires author signoff</x:v>
      </x:c>
      <x:c r="K91" s="60" t="str">
        <x:v>metadata_conflict_requires_signoff</x:v>
      </x:c>
      <x:c r="L91" s="60" t="str">
        <x:v>yes: five agents hold private calendars and must reach consistent distributed commitments without global access</x:v>
      </x:c>
      <x:c r="M91" s="60" t="str">
        <x:v>core_security</x:v>
      </x:c>
      <x:c r="N91" s="60" t="str">
        <x:v>security_relevant</x:v>
      </x:c>
      <x:c r="O91" s="60" t="str">
        <x:v>The benchmark primarily studies coordination, cost, fairness, and communication; privacy leakage is one first-class metric but no adversary is required.</x:v>
      </x:c>
    </x:row>
    <x:row r="92">
      <x:c r="A92" s="60" t="n">
        <x:v>91</x:v>
      </x:c>
      <x:c r="B92" s="60" t="str">
        <x:v>cross_category</x:v>
      </x:c>
      <x:c r="C92" s="60" t="str">
        <x:v>nakamura2026colosseum</x:v>
      </x:c>
      <x:c r="D92" s="60" t="str">
        <x:v>Colosseum: Auditing Collusion in Cooperative Multi-Agent Systems</x:v>
      </x:c>
      <x:c r="E92" s="60" t="str">
        <x:v>Mason Nakamura; Abhinav Kumar; Saswat Das; Sahar Abdelnabi; Saaduddin Mahmud; Ferdinando Fioretto; Shlomo Zilberstein; Eugene Bagdasarian</x:v>
      </x:c>
      <x:c r="F92" s="60" t="n">
        <x:v>2026</x:v>
      </x:c>
      <x:c r="G92" s="60" t="str">
        <x:v>arXiv preprint, under review</x:v>
      </x:c>
      <x:c r="H92" s="60" t="str">
        <x:v>10.48550/arXiv.2602.15198</x:v>
      </x:c>
      <x:c r="I92" s="60" t="str">
        <x:v>https://arxiv.org/abs/2602.15198</x:v>
      </x:c>
      <x:c r="J92" s="60" t="str">
        <x:v>arXiv v2; author page identifies it as under review</x:v>
      </x:c>
      <x:c r="K92" s="60" t="str">
        <x:v>verified_preprint</x:v>
      </x:c>
      <x:c r="L92" s="60" t="str">
        <x:v>yes: coalition collusion and regret relative to a cooperative optimum require multiple agents</x:v>
      </x:c>
      <x:c r="M92" s="60" t="str">
        <x:v>core_security</x:v>
      </x:c>
      <x:c r="N92" s="60" t="str">
        <x:v>core_security</x:v>
      </x:c>
      <x:c r="O92" s="60" t="str">
        <x:v>Collusion, secret channels, and collective objective degradation are inherently multiagent security/safety properties.</x:v>
      </x:c>
    </x:row>
    <x:row r="93">
      <x:c r="A93" s="60" t="n">
        <x:v>92</x:v>
      </x:c>
      <x:c r="B93" s="60" t="str">
        <x:v>cross_category</x:v>
      </x:c>
      <x:c r="C93" s="60" t="str">
        <x:v>milkowski2026amongus</x:v>
      </x:c>
      <x:c r="D93" s="60" t="str">
        <x:v>Deception and Communication in Autonomous Multi-Agent Systems: An Experimental Study with Among Us</x:v>
      </x:c>
      <x:c r="E93" s="60" t="str">
        <x:v>Maria Milkowski; Tim Weninger</x:v>
      </x:c>
      <x:c r="F93" s="60" t="n">
        <x:v>2026</x:v>
      </x:c>
      <x:c r="G93" s="60" t="str">
        <x:v>AAMAS 2026, 9 pages</x:v>
      </x:c>
      <x:c r="H93" s="60" t="str">
        <x:v>10.65109/FRXL8789</x:v>
      </x:c>
      <x:c r="I93" s="60" t="str">
        <x:v>https://doi.org/10.65109/FRXL8789</x:v>
      </x:c>
      <x:c r="J93" s="60" t="str">
        <x:v>Published AAMAS 2026 archival version; arXiv 2603.26635 is full text</x:v>
      </x:c>
      <x:c r="K93" s="60" t="str">
        <x:v>verified_published</x:v>
      </x:c>
      <x:c r="L93" s="60" t="str">
        <x:v>yes: hidden-role deception, discussion, accusation, voting, and outcomes depend on interacting agents</x:v>
      </x:c>
      <x:c r="M93" s="60" t="str">
        <x:v>security_relevant</x:v>
      </x:c>
      <x:c r="N93" s="60" t="str">
        <x:v>security_relevant</x:v>
      </x:c>
      <x:c r="O93" s="60" t="str">
        <x:v>It is a social-deception evaluation in a game with assigned adversarial roles, not a general technical attack or defense study.</x:v>
      </x:c>
    </x:row>
    <x:row r="94">
      <x:c r="A94" s="60" t="n">
        <x:v>93</x:v>
      </x:c>
      <x:c r="B94" s="60" t="str">
        <x:v>cross_category</x:v>
      </x:c>
      <x:c r="C94" s="60" t="str">
        <x:v>arora2026safeagents</x:v>
      </x:c>
      <x:c r="D94" s="60" t="str">
        <x:v>Exposing Weak Links in Multi-Agent Systems under Adversarial Prompting</x:v>
      </x:c>
      <x:c r="E94" s="60" t="str">
        <x:v>Nirmit Arora; Sathvik Joel; Ishan Kavathekar; Palak; Rohan Gandhi; Yash Pandya; Tanuja Ganu; Aditya Kanade; Akshay Nambi</x:v>
      </x:c>
      <x:c r="F94" s="60" t="n">
        <x:v>2026</x:v>
      </x:c>
      <x:c r="G94" s="60" t="str">
        <x:v>AAMAS 2026 Strategic Engineering Workshop</x:v>
      </x:c>
      <x:c r="H94" s="60" t="str"/>
      <x:c r="I94" s="60" t="str">
        <x:v>https://openreview.net/forum?id=XC5vOg5UTf</x:v>
      </x:c>
      <x:c r="J94" s="60" t="str">
        <x:v>Accepted workshop version; arXiv 2511.10949 full text</x:v>
      </x:c>
      <x:c r="K94" s="60" t="str">
        <x:v>verified_workshop</x:v>
      </x:c>
      <x:c r="L94" s="60" t="str">
        <x:v>yes: planner, delegation, context-sharing, subagent, and fallback stages distribute safety decisions</x:v>
      </x:c>
      <x:c r="M94" s="60" t="str">
        <x:v>security_relevant</x:v>
      </x:c>
      <x:c r="N94" s="60" t="str">
        <x:v>core_security</x:v>
      </x:c>
      <x:c r="O94" s="60" t="str">
        <x:v>Explicit adversarial harmful prompts and architecture-dependent harmful execution in LLM MAS.</x:v>
      </x:c>
    </x:row>
    <x:row r="95">
      <x:c r="A95" s="60" t="n">
        <x:v>94</x:v>
      </x:c>
      <x:c r="B95" s="60" t="str">
        <x:v>cross_category</x:v>
      </x:c>
      <x:c r="C95" s="60" t="str">
        <x:v>lemercier2026gambit</x:v>
      </x:c>
      <x:c r="D95" s="60" t="str">
        <x:v>GAMBIT: A Three-Mode Benchmark for Adversarial Robustness in Multi-Agent LLM Collectives</x:v>
      </x:c>
      <x:c r="E95" s="60" t="str">
        <x:v>Alexandre Le Mercier; Chris Develder; Thomas Demeester</x:v>
      </x:c>
      <x:c r="F95" s="60" t="n">
        <x:v>2026</x:v>
      </x:c>
      <x:c r="G95" s="60" t="str">
        <x:v>arXiv preprint</x:v>
      </x:c>
      <x:c r="H95" s="60" t="str">
        <x:v>10.48550/arXiv.2605.09027</x:v>
      </x:c>
      <x:c r="I95" s="60" t="str">
        <x:v>https://arxiv.org/abs/2605.09027</x:v>
      </x:c>
      <x:c r="J95" s="60" t="str">
        <x:v>arXiv v2/current preprint; no archival venue verified</x:v>
      </x:c>
      <x:c r="K95" s="60" t="str">
        <x:v>verified_preprint</x:v>
      </x:c>
      <x:c r="L95" s="60" t="str">
        <x:v>yes: a deceptive imposter participates in an LLM collective and adapts its inter-agent deliberation strategy against detectors</x:v>
      </x:c>
      <x:c r="M95" s="60" t="str">
        <x:v>security_relevant</x:v>
      </x:c>
      <x:c r="N95" s="60" t="str">
        <x:v>core_security</x:v>
      </x:c>
      <x:c r="O95" s="60" t="str">
        <x:v>The benchmark directly evaluates a malicious member, collective degradation, observer evasion, and post-shift defense adaptation.</x:v>
      </x:c>
    </x:row>
    <x:row r="96">
      <x:c r="A96" s="60" t="n">
        <x:v>95</x:v>
      </x:c>
      <x:c r="B96" s="60" t="str">
        <x:v>cross_category</x:v>
      </x:c>
      <x:c r="C96" s="60" t="str">
        <x:v>mateotorrejon2026gammaf</x:v>
      </x:c>
      <x:c r="D96" s="60" t="str">
        <x:v>GAMMAF: A Common Framework for Graph-Based Anomaly Monitoring Benchmarking in LLM Multi-Agent Systems</x:v>
      </x:c>
      <x:c r="E96" s="60" t="str">
        <x:v>Pablo Mateo-Torrejón; Alfonso Sánchez-Macián</x:v>
      </x:c>
      <x:c r="F96" s="60" t="n">
        <x:v>2026</x:v>
      </x:c>
      <x:c r="G96" s="60" t="str">
        <x:v>arXiv preprint</x:v>
      </x:c>
      <x:c r="H96" s="60" t="str">
        <x:v>10.48550/arXiv.2604.24477</x:v>
      </x:c>
      <x:c r="I96" s="60" t="str">
        <x:v>https://arxiv.org/abs/2604.24477</x:v>
      </x:c>
      <x:c r="J96" s="60" t="str">
        <x:v>arXiv v1; no archival venue verified</x:v>
      </x:c>
      <x:c r="K96" s="60" t="str">
        <x:v>verified_preprint</x:v>
      </x:c>
      <x:c r="L96" s="60" t="str">
        <x:v>yes: attributed communication graphs, live debate rounds, graph anomaly detectors, and node isolation are inherently multi-agent</x:v>
      </x:c>
      <x:c r="M96" s="60" t="str">
        <x:v>core_security</x:v>
      </x:c>
      <x:c r="N96" s="60" t="str">
        <x:v>core_security</x:v>
      </x:c>
      <x:c r="O96" s="60" t="str">
        <x:v>It directly benchmarks detection and containment of compromised nodes in LLM MAS communication graphs.</x:v>
      </x:c>
    </x:row>
    <x:row r="97">
      <x:c r="A97" s="60" t="n">
        <x:v>96</x:v>
      </x:c>
      <x:c r="B97" s="60" t="str">
        <x:v>cross_category</x:v>
      </x:c>
      <x:c r="C97" s="60" t="str">
        <x:v>rahman2026harp</x:v>
      </x:c>
      <x:c r="D97" s="60" t="str">
        <x:v>HARP: Measuring Harm Amplification in Multi-Agent LLM Systems</x:v>
      </x:c>
      <x:c r="E97" s="60" t="str">
        <x:v>Md Hafizur Rahman; Zafaryab Haider; Tanzim Mahfuz; Prabuddha Chakraborty</x:v>
      </x:c>
      <x:c r="F97" s="60" t="n">
        <x:v>2026</x:v>
      </x:c>
      <x:c r="G97" s="60" t="str">
        <x:v>arXiv preprint</x:v>
      </x:c>
      <x:c r="H97" s="60" t="str">
        <x:v>10.48550/arXiv.2605.27489</x:v>
      </x:c>
      <x:c r="I97" s="60" t="str">
        <x:v>https://arxiv.org/abs/2605.27489</x:v>
      </x:c>
      <x:c r="J97" s="60" t="str">
        <x:v>arXiv v1; no archival venue verified</x:v>
      </x:c>
      <x:c r="K97" s="60" t="str">
        <x:v>verified_preprint</x:v>
      </x:c>
      <x:c r="L97" s="60" t="str">
        <x:v>yes: paired traces quantify how a bounded local perturbation is reused across agents, tools, shared context, memory, and a decision gate</x:v>
      </x:c>
      <x:c r="M97" s="60" t="str">
        <x:v>core_security</x:v>
      </x:c>
      <x:c r="N97" s="60" t="str">
        <x:v>core_security</x:v>
      </x:c>
      <x:c r="O97" s="60" t="str">
        <x:v>The paper explicitly targets adversarial local-to-global harm amplification in a seven-agent LLM system.</x:v>
      </x:c>
    </x:row>
    <x:row r="98">
      <x:c r="A98" s="60" t="n">
        <x:v>97</x:v>
      </x:c>
      <x:c r="B98" s="60" t="str">
        <x:v>cross_category</x:v>
      </x:c>
      <x:c r="C98" s="60" t="str">
        <x:v>olson2026liecraft</x:v>
      </x:c>
      <x:c r="D98" s="60" t="str">
        <x:v>LieCraft: A Multi-Agent Framework for Evaluating Deceptive Capabilities in Language Models</x:v>
      </x:c>
      <x:c r="E98" s="60" t="str">
        <x:v>Matthew Lyle Olson; Neale Ratzlaff; Musashi Hinck; Tri Nguyen; Vasudev Lal; Joseph Campbell; Simon Stepputtis; Shao-Yen Tseng</x:v>
      </x:c>
      <x:c r="F98" s="60" t="n">
        <x:v>2026</x:v>
      </x:c>
      <x:c r="G98" s="60" t="str">
        <x:v>AAAI 2026</x:v>
      </x:c>
      <x:c r="H98" s="60" t="str">
        <x:v>10.1609/aaai.v40i44.41116</x:v>
      </x:c>
      <x:c r="I98" s="60" t="str">
        <x:v>https://ojs.aaai.org/index.php/AAAI/article/view/41116</x:v>
      </x:c>
      <x:c r="J98" s="60" t="str">
        <x:v>Published AAAI 2026 version</x:v>
      </x:c>
      <x:c r="K98" s="60" t="str">
        <x:v>verified_published</x:v>
      </x:c>
      <x:c r="L98" s="60" t="str">
        <x:v>yes: private roles, communication, accusation, and collective game outcomes require interacting players</x:v>
      </x:c>
      <x:c r="M98" s="60" t="str">
        <x:v>security_relevant</x:v>
      </x:c>
      <x:c r="N98" s="60" t="str">
        <x:v>security_relevant</x:v>
      </x:c>
      <x:c r="O98" s="60" t="str">
        <x:v>It measures deception capability and peer detection in controlled games, but the malicious objective is assigned by the benchmark rather than arising from a deployment attack.</x:v>
      </x:c>
    </x:row>
    <x:row r="99">
      <x:c r="A99" s="60" t="n">
        <x:v>98</x:v>
      </x:c>
      <x:c r="B99" s="60" t="str">
        <x:v>cross_category</x:v>
      </x:c>
      <x:c r="C99" s="60" t="str">
        <x:v>jia2026masfire</x:v>
      </x:c>
      <x:c r="D99" s="60" t="str">
        <x:v>MAS-FIRE: Fault Injection and Reliability Evaluation for LLM-Based Multi-Agent Systems</x:v>
      </x:c>
      <x:c r="E99" s="60" t="str">
        <x:v>Jin Jia; Zhiling Deng; Zhuangbin Chen; Yingqi Wang; Zibin Zheng</x:v>
      </x:c>
      <x:c r="F99" s="60" t="n">
        <x:v>2026</x:v>
      </x:c>
      <x:c r="G99" s="60" t="str">
        <x:v>arXiv preprint</x:v>
      </x:c>
      <x:c r="H99" s="60" t="str">
        <x:v>10.48550/arXiv.2602.19843</x:v>
      </x:c>
      <x:c r="I99" s="60" t="str">
        <x:v>https://arxiv.org/abs/2602.19843</x:v>
      </x:c>
      <x:c r="J99" s="60" t="str">
        <x:v>arXiv v1; no archival venue verified</x:v>
      </x:c>
      <x:c r="K99" s="60" t="str">
        <x:v>verified_preprint</x:v>
      </x:c>
      <x:c r="L99" s="60" t="str">
        <x:v>yes: controlled semantic faults are injected at agents or interaction points and tracked through downstream propagation, masking, and recovery</x:v>
      </x:c>
      <x:c r="M99" s="60" t="str">
        <x:v>adjacent</x:v>
      </x:c>
      <x:c r="N99" s="60" t="str">
        <x:v>adjacent</x:v>
      </x:c>
      <x:c r="O99" s="60" t="str">
        <x:v>The primary object is reliability under synthetic faults; security relevance arises only when the injection is adversarial.</x:v>
      </x:c>
    </x:row>
    <x:row r="100">
      <x:c r="A100" s="60" t="n">
        <x:v>99</x:v>
      </x:c>
      <x:c r="B100" s="60" t="str">
        <x:v>cross_category</x:v>
      </x:c>
      <x:c r="C100" s="60" t="str">
        <x:v>gonzalez2026multimodalsafety</x:v>
      </x:c>
      <x:c r="D100" s="60" t="str">
        <x:v>Multimodal Safety Evaluation in Generative Agent Social Simulations</x:v>
      </x:c>
      <x:c r="E100" s="60" t="str">
        <x:v>Alhim Adonai Vera Gonzalez; Carlos Hinojosa; Karen Sanchez; Haidar Bin Hamid; Donghoon Kim; Bernard Ghanem</x:v>
      </x:c>
      <x:c r="F100" s="60" t="n">
        <x:v>2026</x:v>
      </x:c>
      <x:c r="G100" s="60" t="str">
        <x:v>ACL 2026</x:v>
      </x:c>
      <x:c r="H100" s="60" t="str">
        <x:v>10.18653/v1/2026.acl-long.1915</x:v>
      </x:c>
      <x:c r="I100" s="60" t="str">
        <x:v>https://aclanthology.org/2026.acl-long.1915/</x:v>
      </x:c>
      <x:c r="J100" s="60" t="str">
        <x:v>Published ACL 2026 version</x:v>
      </x:c>
      <x:c r="K100" s="60" t="str">
        <x:v>verified_published</x:v>
      </x:c>
      <x:c r="L100" s="60" t="str">
        <x:v>yes: multiple generative agents share a social environment and unsafe multimodal context influences plans, dialogue, reflection, and actions</x:v>
      </x:c>
      <x:c r="M100" s="60" t="str">
        <x:v>adjacent</x:v>
      </x:c>
      <x:c r="N100" s="60" t="str">
        <x:v>adjacent</x:v>
      </x:c>
      <x:c r="O100" s="60" t="str">
        <x:v>The work is situational safety evaluation without a capability-bearing adversary; security relevance is indirect.</x:v>
      </x:c>
    </x:row>
    <x:row r="101">
      <x:c r="A101" s="60" t="n">
        <x:v>100</x:v>
      </x:c>
      <x:c r="B101" s="60" t="str">
        <x:v>cross_category</x:v>
      </x:c>
      <x:c r="C101" s="60" t="str">
        <x:v>dong2026pear</x:v>
      </x:c>
      <x:c r="D101" s="60" t="str">
        <x:v>PEAR: Planner-Executor Agent Robustness Benchmark</x:v>
      </x:c>
      <x:c r="E101" s="60" t="str">
        <x:v>Shen Dong; Mingxuan Zhang; Pengfei He; Li Ma; Bhavani Thuraisingham; Hui Liu; Yue Xing</x:v>
      </x:c>
      <x:c r="F101" s="60" t="n">
        <x:v>2026</x:v>
      </x:c>
      <x:c r="G101" s="60" t="str">
        <x:v>Findings of EACL 2026</x:v>
      </x:c>
      <x:c r="H101" s="60" t="str">
        <x:v>10.18653/v1/2026.findings-eacl.237</x:v>
      </x:c>
      <x:c r="I101" s="60" t="str">
        <x:v>https://aclanthology.org/2026.findings-eacl.237/</x:v>
      </x:c>
      <x:c r="J101" s="60" t="str">
        <x:v>Published Findings of EACL 2026 version; withdrawn earlier arXiv version excluded</x:v>
      </x:c>
      <x:c r="K101" s="60" t="str">
        <x:v>verified_published</x:v>
      </x:c>
      <x:c r="L101" s="60" t="str">
        <x:v>yes: planner and executor are separately instrumented roles whose communication, memory, and delegated authority determine attack effects</x:v>
      </x:c>
      <x:c r="M101" s="60" t="str">
        <x:v>core_security</x:v>
      </x:c>
      <x:c r="N101" s="60" t="str">
        <x:v>core_security</x:v>
      </x:c>
      <x:c r="O101" s="60" t="str">
        <x:v>Role-targeted prompt injection directly tests security of a two-agent planner-executor architecture.</x:v>
      </x:c>
    </x:row>
    <x:row r="102">
      <x:c r="A102" s="60" t="n">
        <x:v>101</x:v>
      </x:c>
      <x:c r="B102" s="60" t="str">
        <x:v>cross_category</x:v>
      </x:c>
      <x:c r="C102" s="60" t="str">
        <x:v>jiang2026risklab</x:v>
      </x:c>
      <x:c r="D102" s="60" t="str">
        <x:v>RiskLab: A Controlled Toolkit for Probing Emergent Risks in LLM-Based Multi-Agent Systems</x:v>
      </x:c>
      <x:c r="E102" s="60" t="str">
        <x:v>Yu Jiang; Wenjie Wang; Yue Huang; Yanbo Wang; Zhenhong Zhou; Xiuying Chen; Yang Liu; Pin-Yu Chen; Wei Wang; Xiangliang Zhang</x:v>
      </x:c>
      <x:c r="F102" s="60" t="n">
        <x:v>2026</x:v>
      </x:c>
      <x:c r="G102" s="60" t="str">
        <x:v>ACL 2026 System Demonstrations</x:v>
      </x:c>
      <x:c r="H102" s="60" t="str">
        <x:v>10.18653/v1/2026.acl-demo.17</x:v>
      </x:c>
      <x:c r="I102" s="60" t="str">
        <x:v>https://aclanthology.org/2026.acl-demo.17/</x:v>
      </x:c>
      <x:c r="J102" s="60" t="str">
        <x:v>Published ACL 2026 system demonstration</x:v>
      </x:c>
      <x:c r="K102" s="60" t="str">
        <x:v>verified_published_demo</x:v>
      </x:c>
      <x:c r="L102" s="60" t="str">
        <x:v>yes: the toolkit makes topology, environment, protocol, agents, tasks, and global trajectories configurable</x:v>
      </x:c>
      <x:c r="M102" s="60" t="str">
        <x:v>security_relevant</x:v>
      </x:c>
      <x:c r="N102" s="60" t="str">
        <x:v>security_relevant</x:v>
      </x:c>
      <x:c r="O102" s="60" t="str">
        <x:v>It probes collusion, resource overreach, drift, and strategic misreporting, but includes broad emergent risk and reliability concerns beyond adversarial security.</x:v>
      </x:c>
    </x:row>
    <x:row r="103">
      <x:c r="A103" s="60" t="n">
        <x:v>102</x:v>
      </x:c>
      <x:c r="B103" s="60" t="str">
        <x:v>cross_category</x:v>
      </x:c>
      <x:c r="C103" s="60" t="str">
        <x:v>kavathekar2026tamas</x:v>
      </x:c>
      <x:c r="D103" s="60" t="str">
        <x:v>TAMAS: Benchmarking Adversarial Risks in Multi-Agent LLM Systems</x:v>
      </x:c>
      <x:c r="E103" s="60" t="str">
        <x:v>Ishan Kavathekar; Hemang Jain; Ameya Rathod; Ponnurangam Kumaraguru; Tanuja Ganu</x:v>
      </x:c>
      <x:c r="F103" s="60" t="n">
        <x:v>2026</x:v>
      </x:c>
      <x:c r="G103" s="60" t="str">
        <x:v>ACL 2026</x:v>
      </x:c>
      <x:c r="H103" s="60" t="str">
        <x:v>10.18653/v1/2026.acl-long.1442</x:v>
      </x:c>
      <x:c r="I103" s="60" t="str">
        <x:v>https://aclanthology.org/2026.acl-long.1442/</x:v>
      </x:c>
      <x:c r="J103" s="60" t="str">
        <x:v>Published ACL 2026 version</x:v>
      </x:c>
      <x:c r="K103" s="60" t="str">
        <x:v>verified_published</x:v>
      </x:c>
      <x:c r="L103" s="60" t="str">
        <x:v>yes: attacks are evaluated across centralized, decentralized, and sequential LLM MAS configurations with routing, trust, and tools</x:v>
      </x:c>
      <x:c r="M103" s="60" t="str">
        <x:v>security_relevant</x:v>
      </x:c>
      <x:c r="N103" s="60" t="str">
        <x:v>core_security</x:v>
      </x:c>
      <x:c r="O103" s="60" t="str">
        <x:v>The benchmark explicitly measures adversarial confidentiality, integrity, availability, tool, identity, and execution failures in LLM MAS.</x:v>
      </x:c>
    </x:row>
    <x:row r="104">
      <x:c r="A104" s="60" t="n">
        <x:v>103</x:v>
      </x:c>
      <x:c r="B104" s="60" t="str">
        <x:v>cross_category</x:v>
      </x:c>
      <x:c r="C104" s="60" t="str">
        <x:v>liu2026valueflow</x:v>
      </x:c>
      <x:c r="D104" s="60" t="str">
        <x:v>ValueFlow: Measuring the Propagation of Value Perturbations in Multi-Agent LLM Systems</x:v>
      </x:c>
      <x:c r="E104" s="60" t="str">
        <x:v>Jinnuo Liu; Chuke Liu; Hua Shen</x:v>
      </x:c>
      <x:c r="F104" s="60" t="n">
        <x:v>2026</x:v>
      </x:c>
      <x:c r="G104" s="60" t="str">
        <x:v>arXiv preprint</x:v>
      </x:c>
      <x:c r="H104" s="60" t="str">
        <x:v>10.48550/arXiv.2602.08567</x:v>
      </x:c>
      <x:c r="I104" s="60" t="str">
        <x:v>https://arxiv.org/abs/2602.08567</x:v>
      </x:c>
      <x:c r="J104" s="60" t="str">
        <x:v>arXiv v2; no archival venue verified</x:v>
      </x:c>
      <x:c r="K104" s="60" t="str">
        <x:v>verified_preprint</x:v>
      </x:c>
      <x:c r="L104" s="60" t="str">
        <x:v>yes: a node-level value perturbation is measured through downstream messages and final system outputs under varied roles and topologies</x:v>
      </x:c>
      <x:c r="M104" s="60" t="str">
        <x:v>security_relevant</x:v>
      </x:c>
      <x:c r="N104" s="60" t="str">
        <x:v>security_relevant</x:v>
      </x:c>
      <x:c r="O104" s="60" t="str">
        <x:v>The work audits value propagation and collective susceptibility but uses controlled perturbations without a deployment adversary.</x:v>
      </x:c>
    </x:row>
    <x:row r="105">
      <x:c r="A105" s="60" t="n">
        <x:v>104</x:v>
      </x:c>
      <x:c r="B105" s="60" t="str">
        <x:v>cross_category</x:v>
      </x:c>
      <x:c r="C105" s="60" t="str">
        <x:v>allegrini2025formalizing</x:v>
      </x:c>
      <x:c r="D105" s="60" t="str">
        <x:v>Formalizing the Safety, Security, and Functional Properties of Agentic AI Systems</x:v>
      </x:c>
      <x:c r="E105" s="60" t="str">
        <x:v>Edoardo Allegrini; Ananth Shreekumar; Z. Berkay Celik</x:v>
      </x:c>
      <x:c r="F105" s="60" t="n">
        <x:v>2025</x:v>
      </x:c>
      <x:c r="G105" s="60" t="str">
        <x:v>arXiv preprint</x:v>
      </x:c>
      <x:c r="H105" s="60" t="str">
        <x:v>10.48550/arXiv.2510.14133</x:v>
      </x:c>
      <x:c r="I105" s="60" t="str">
        <x:v>https://arxiv.org/abs/2510.14133</x:v>
      </x:c>
      <x:c r="J105" s="60" t="str">
        <x:v>arXiv v2; no archival publication verified</x:v>
      </x:c>
      <x:c r="K105" s="60" t="str">
        <x:v>verified_preprint</x:v>
      </x:c>
      <x:c r="L105" s="60" t="str">
        <x:v>yes, but mixed boundary: the model covers a host agent, external tools through MCP, peer agents through A2A, and task-lifecycle composition</x:v>
      </x:c>
      <x:c r="M105" s="60" t="str">
        <x:v>core_security</x:v>
      </x:c>
      <x:c r="N105" s="60" t="str">
        <x:v>security_relevant</x:v>
      </x:c>
      <x:c r="O105" s="60" t="str">
        <x:v>It formalizes cross-protocol safety/security properties but is broader than LLM-MAS security and includes agent-tool composition.</x:v>
      </x:c>
    </x:row>
    <x:row r="106">
      <x:c r="A106" s="60" t="n">
        <x:v>105</x:v>
      </x:c>
      <x:c r="B106" s="60" t="str">
        <x:v>cross_category</x:v>
      </x:c>
      <x:c r="C106" s="60" t="str">
        <x:v>bellay2025safesystems</x:v>
      </x:c>
      <x:c r="D106" s="60" t="str">
        <x:v>Safe Systems with Unsafe Agents: Challenges and Opportunities</x:v>
      </x:c>
      <x:c r="E106" s="60" t="str">
        <x:v>Jeremy Bellay; J. Timothy Balint; Stephen A. Boxwell; Jeffrey Geppert</x:v>
      </x:c>
      <x:c r="F106" s="60" t="n">
        <x:v>2025</x:v>
      </x:c>
      <x:c r="G106" s="60" t="str">
        <x:v>AAMAS 2025 Blue Sky Ideas</x:v>
      </x:c>
      <x:c r="H106" s="60" t="str"/>
      <x:c r="I106" s="60" t="str">
        <x:v>https://www.ifaamas.org/Proceedings/aamas2025/pdfs/p2849.pdf</x:v>
      </x:c>
      <x:c r="J106" s="60" t="str">
        <x:v>Published AAMAS 2025 Blue Sky paper, pp. 2849-2853</x:v>
      </x:c>
      <x:c r="K106" s="60" t="str">
        <x:v>verified_published_position</x:v>
      </x:c>
      <x:c r="L106" s="60" t="str">
        <x:v>yes: the thesis concerns system-level safety despite unsafe or unreliable members</x:v>
      </x:c>
      <x:c r="M106" s="60" t="str">
        <x:v>adjacent</x:v>
      </x:c>
      <x:c r="N106" s="60" t="str">
        <x:v>adjacent</x:v>
      </x:c>
      <x:c r="O106" s="60" t="str">
        <x:v>It is a conceptual system-safety agenda rather than an LLM-specific technical security study.</x:v>
      </x:c>
    </x:row>
    <x:row r="107">
      <x:c r="A107" s="60" t="n">
        <x:v>106</x:v>
      </x:c>
      <x:c r="B107" s="60" t="str">
        <x:v>cross_category</x:v>
      </x:c>
      <x:c r="C107" s="60" t="str">
        <x:v>hu2025responsibility</x:v>
      </x:c>
      <x:c r="D107" s="60" t="str">
        <x:v>Stop Reducing Responsibility in LLM-Powered Multi-Agent Systems to Local Alignment</x:v>
      </x:c>
      <x:c r="E107" s="60" t="str">
        <x:v>Jinwei Hu; Yi Dong; Shuang Ao; Zhuoyun Li; Boxuan Wang; Lokesh Singh; Guangliang Cheng; Sarvapali D. Ramchurn; Xiaowei Huang</x:v>
      </x:c>
      <x:c r="F107" s="60" t="n">
        <x:v>2025</x:v>
      </x:c>
      <x:c r="G107" s="60" t="str">
        <x:v>arXiv preprint</x:v>
      </x:c>
      <x:c r="H107" s="60" t="str">
        <x:v>10.48550/arXiv.2510.14008</x:v>
      </x:c>
      <x:c r="I107" s="60" t="str">
        <x:v>https://arxiv.org/abs/2510.14008</x:v>
      </x:c>
      <x:c r="J107" s="60" t="str">
        <x:v>arXiv v2; no archival venue verified</x:v>
      </x:c>
      <x:c r="K107" s="60" t="str">
        <x:v>verified_preprint</x:v>
      </x:c>
      <x:c r="L107" s="60" t="str">
        <x:v>yes: responsibility is explicitly framed as a lifecycle-wide collective property over agreement, uncertainty, and security</x:v>
      </x:c>
      <x:c r="M107" s="60" t="str">
        <x:v>security_relevant</x:v>
      </x:c>
      <x:c r="N107" s="60" t="str">
        <x:v>security_relevant</x:v>
      </x:c>
      <x:c r="O107" s="60" t="str">
        <x:v>The position paper includes adversarial vulnerability and global oversight but is primarily responsible-AI/governance theory.</x:v>
      </x:c>
    </x:row>
    <x:row r="108">
      <x:c r="A108" s="60" t="n">
        <x:v>107</x:v>
      </x:c>
      <x:c r="B108" s="60" t="str">
        <x:v>cross_category</x:v>
      </x:c>
      <x:c r="C108" s="60" t="str">
        <x:v>anbiaee2026protocols</x:v>
      </x:c>
      <x:c r="D108" s="60" t="str">
        <x:v>Security Threat Modeling for Emerging AI-Agent Protocols: A Comparative Analysis of MCP, A2A, Agora, and ANP</x:v>
      </x:c>
      <x:c r="E108" s="60" t="str">
        <x:v>Zeynab Anbiaee; Mahdi Rabbani; Mansur Mirani; Gunjan Piya; Igor Opushnyev; Ali Ghorbani; Sajjad Dadkhah</x:v>
      </x:c>
      <x:c r="F108" s="60" t="n">
        <x:v>2026</x:v>
      </x:c>
      <x:c r="G108" s="60" t="str">
        <x:v>arXiv preprint</x:v>
      </x:c>
      <x:c r="H108" s="60" t="str">
        <x:v>10.48550/arXiv.2602.11327</x:v>
      </x:c>
      <x:c r="I108" s="60" t="str">
        <x:v>https://arxiv.org/abs/2602.11327</x:v>
      </x:c>
      <x:c r="J108" s="60" t="str">
        <x:v>arXiv v2; no archival venue verified</x:v>
      </x:c>
      <x:c r="K108" s="60" t="str">
        <x:v>verified_preprint</x:v>
      </x:c>
      <x:c r="L108" s="60" t="str">
        <x:v>mixed: A2A, Agora, and ANP are cross-agent protocols, while MCP is primarily agent-to-tool/server and serves as a comparator</x:v>
      </x:c>
      <x:c r="M108" s="60" t="str">
        <x:v>core_security</x:v>
      </x:c>
      <x:c r="N108" s="60" t="str">
        <x:v>security_relevant</x:v>
      </x:c>
      <x:c r="O108" s="60" t="str">
        <x:v>Protocol security is directly relevant, but the four-protocol corpus is not exclusively multiagent and includes a tool protocol.</x:v>
      </x:c>
    </x:row>
    <x:row r="109">
      <x:c r="A109" s="60" t="n">
        <x:v>108</x:v>
      </x:c>
      <x:c r="B109" s="60" t="str">
        <x:v>cross_category</x:v>
      </x:c>
      <x:c r="C109" s="60" t="str">
        <x:v>yu2025trustworthyagents</x:v>
      </x:c>
      <x:c r="D109" s="60" t="str">
        <x:v>A Survey on Trustworthy LLM Agents: Threats and Countermeasures</x:v>
      </x:c>
      <x:c r="E109" s="60" t="str">
        <x:v>Miao Yu; Fanci Meng; Xinyun Zhou; Shilong Wang; Junyuan Mao; Linsey Pang; Tianlong Chen; Kun Wang; Xinfeng Li; Yongfeng Zhang; Bo An; Qingsong Wen</x:v>
      </x:c>
      <x:c r="F109" s="60" t="n">
        <x:v>2025</x:v>
      </x:c>
      <x:c r="G109" s="60" t="str">
        <x:v>KDD 2025</x:v>
      </x:c>
      <x:c r="H109" s="60" t="str">
        <x:v>10.1145/3711896.3736561</x:v>
      </x:c>
      <x:c r="I109" s="60" t="str">
        <x:v>https://doi.org/10.1145/3711896.3736561</x:v>
      </x:c>
      <x:c r="J109" s="60" t="str">
        <x:v>Published KDD 2025 paper, pp. 6216-6226; arXiv preprint is supporting full text</x:v>
      </x:c>
      <x:c r="K109" s="60" t="str">
        <x:v>verified_published_metadata_patch</x:v>
      </x:c>
      <x:c r="L109" s="60" t="str">
        <x:v>partial: MAS and other agents are an extrinsic module in a broader trustworthy-agent component framework</x:v>
      </x:c>
      <x:c r="M109" s="60" t="str">
        <x:v>security_relevant</x:v>
      </x:c>
      <x:c r="N109" s="60" t="str">
        <x:v>security_relevant</x:v>
      </x:c>
      <x:c r="O109" s="60" t="str">
        <x:v>The survey covers MAS, but it is not interaction-primary and includes broad trustworthiness dimensions.</x:v>
      </x:c>
    </x:row>
    <x:row r="110">
      <x:c r="A110" s="60" t="n">
        <x:v>109</x:v>
      </x:c>
      <x:c r="B110" s="60" t="str">
        <x:v>cross_category</x:v>
      </x:c>
      <x:c r="C110" s="60" t="str">
        <x:v>deng2025agentsunderthreat</x:v>
      </x:c>
      <x:c r="D110" s="60" t="str">
        <x:v>AI Agents Under Threat: A Survey of Key Security Challenges and Future Pathways</x:v>
      </x:c>
      <x:c r="E110" s="60" t="str">
        <x:v>Zehang Deng; Yongjian Guo; Changzhou Han; Wanlun Ma; Junwu Xiong; Sheng Wen; Yang Xiang</x:v>
      </x:c>
      <x:c r="F110" s="60" t="n">
        <x:v>2025</x:v>
      </x:c>
      <x:c r="G110" s="60" t="str">
        <x:v>ACM Computing Surveys 57(7), Article 182</x:v>
      </x:c>
      <x:c r="H110" s="60" t="str">
        <x:v>10.1145/3716628</x:v>
      </x:c>
      <x:c r="I110" s="60" t="str">
        <x:v>https://doi.org/10.1145/3716628</x:v>
      </x:c>
      <x:c r="J110" s="60" t="str">
        <x:v>Published ACM Computing Surveys version</x:v>
      </x:c>
      <x:c r="K110" s="60" t="str">
        <x:v>verified_published</x:v>
      </x:c>
      <x:c r="L110" s="60" t="str">
        <x:v>partial: interactions with external entities and some MAS risks are covered inside a broad AI-agent security survey</x:v>
      </x:c>
      <x:c r="M110" s="60" t="str">
        <x:v>security_relevant</x:v>
      </x:c>
      <x:c r="N110" s="60" t="str">
        <x:v>security_relevant</x:v>
      </x:c>
      <x:c r="O110" s="60" t="str">
        <x:v>Primary boundary is general AI agents and four knowledge gaps, not LLM-MAS interaction as the sole object.</x:v>
      </x:c>
    </x:row>
    <x:row r="111">
      <x:c r="A111" s="60" t="n">
        <x:v>110</x:v>
      </x:c>
      <x:c r="B111" s="60" t="str">
        <x:v>cross_category</x:v>
      </x:c>
      <x:c r="C111" s="60" t="str">
        <x:v>schroederdewitt2025openchallenges</x:v>
      </x:c>
      <x:c r="D111" s="60" t="str">
        <x:v>Open Challenges in Multi-Agent Security: Towards Secure Systems of Interacting AI Agents</x:v>
      </x:c>
      <x:c r="E111" s="60" t="str">
        <x:v>Christian Schroeder de Witt; Klaudia Krawiecka; Igor Krawczuk; Ben Hagag; William L. Anderson; Peter Belcak; Ben Bucknall; Xiaohong Cai; Ayush Chopra; Doron Cohen; Ron F. Del Rosario; Andis Draguns; Annie Gray; Keren Katz; Vasilios Mavroudis; Jaron Mink; Sumeet Ramesh Motwani; Jonathan Petit; Leif-Sebastian Rembeck; Chandler Smith; John Sotiropoulos; Steven Young; Sarah Scheffler; Mary Llewellyn</x:v>
      </x:c>
      <x:c r="F111" s="60" t="n">
        <x:v>2025</x:v>
      </x:c>
      <x:c r="G111" s="60" t="str">
        <x:v>arXiv preprint</x:v>
      </x:c>
      <x:c r="H111" s="60" t="str">
        <x:v>10.48550/arXiv.2505.02077</x:v>
      </x:c>
      <x:c r="I111" s="60" t="str">
        <x:v>https://arxiv.org/abs/2505.02077</x:v>
      </x:c>
      <x:c r="J111" s="60" t="str">
        <x:v>arXiv v2 dated 29 April 2026; 82-page evolving position/survey paper</x:v>
      </x:c>
      <x:c r="K111" s="60" t="str">
        <x:v>verified_preprint_author_list_patch</x:v>
      </x:c>
      <x:c r="L111" s="60" t="str">
        <x:v>yes: interacting AI agents, shared environments, network effects, coalitions, protocols, and observability are the sole focus</x:v>
      </x:c>
      <x:c r="M111" s="60" t="str">
        <x:v>security_relevant</x:v>
      </x:c>
      <x:c r="N111" s="60" t="str">
        <x:v>core_security</x:v>
      </x:c>
      <x:c r="O111" s="60" t="str">
        <x:v>This is directly a multi-agent security framing and agenda, although not an auditable systematic corpus review.</x:v>
      </x:c>
    </x:row>
    <x:row r="112">
      <x:c r="A112" s="60" t="n">
        <x:v>111</x:v>
      </x:c>
      <x:c r="B112" s="60" t="str">
        <x:v>cross_category</x:v>
      </x:c>
      <x:c r="C112" s="60" t="str">
        <x:v>he2025emergedsecurity</x:v>
      </x:c>
      <x:c r="D112" s="60" t="str">
        <x:v>The Emerged Security and Privacy of LLM Agent: A Survey with Case Studies</x:v>
      </x:c>
      <x:c r="E112" s="60" t="str">
        <x:v>Feng He; Tianqing Zhu; Dayong Ye; Bo Liu; Wanlei Zhou; Philip S. Yu</x:v>
      </x:c>
      <x:c r="F112" s="60" t="n">
        <x:v>2025</x:v>
      </x:c>
      <x:c r="G112" s="60" t="str">
        <x:v>ACM Computing Surveys 58(6), Article 162</x:v>
      </x:c>
      <x:c r="H112" s="60" t="str">
        <x:v>10.1145/3773080</x:v>
      </x:c>
      <x:c r="I112" s="60" t="str">
        <x:v>https://doi.org/10.1145/3773080</x:v>
      </x:c>
      <x:c r="J112" s="60" t="str">
        <x:v>Published ACM Computing Surveys version, December 2025</x:v>
      </x:c>
      <x:c r="K112" s="60" t="str">
        <x:v>verified_published</x:v>
      </x:c>
      <x:c r="L112" s="60" t="str">
        <x:v>partial: agent-to-agent interaction appears within a broad LLM-agent security/privacy survey and case-study framing</x:v>
      </x:c>
      <x:c r="M112" s="60" t="str">
        <x:v>security_relevant</x:v>
      </x:c>
      <x:c r="N112" s="60" t="str">
        <x:v>security_relevant</x:v>
      </x:c>
      <x:c r="O112" s="60" t="str">
        <x:v>Primary object is general LLM agents across planning, memory, tools, interaction, and deployment.</x:v>
      </x:c>
    </x:row>
    <x:row r="113">
      <x:c r="A113" s="60" t="n">
        <x:v>112</x:v>
      </x:c>
      <x:c r="B113" s="60" t="str">
        <x:v>cross_category</x:v>
      </x:c>
      <x:c r="C113" s="60" t="str">
        <x:v>ko2026sevenchallenges</x:v>
      </x:c>
      <x:c r="D113" s="60" t="str">
        <x:v>Seven Security Challenges in Cross-Domain Multi-Agent LLM Systems</x:v>
      </x:c>
      <x:c r="E113" s="60" t="str">
        <x:v>Ronny Ko; Jiseong Chung; Shuyuan Zheng; Chuan Xiao; Tae-Wan Kim; Makoto Onizuka; Won-Yong Shin</x:v>
      </x:c>
      <x:c r="F113" s="60" t="n">
        <x:v>2026</x:v>
      </x:c>
      <x:c r="G113" s="60" t="str">
        <x:v>npj Artificial Intelligence 2026 (Perspective)</x:v>
      </x:c>
      <x:c r="H113" s="60" t="str">
        <x:v>10.1038/s44387-026-00128-9</x:v>
      </x:c>
      <x:c r="I113" s="60" t="str">
        <x:v>https://doi.org/10.1038/s44387-026-00128-9</x:v>
      </x:c>
      <x:c r="J113" s="60" t="str">
        <x:v>Published open-access Perspective on 13 June 2026; publisher currently exposes an unedited early-access version</x:v>
      </x:c>
      <x:c r="K113" s="60" t="str">
        <x:v>verified_published_early_access</x:v>
      </x:c>
      <x:c r="L113" s="60" t="str">
        <x:v>yes: cross-domain LLM-agent trust, interoperability, context, and policy composition are the sole scope</x:v>
      </x:c>
      <x:c r="M113" s="60" t="str">
        <x:v>security_relevant</x:v>
      </x:c>
      <x:c r="N113" s="60" t="str">
        <x:v>core_security</x:v>
      </x:c>
      <x:c r="O113" s="60" t="str">
        <x:v>It directly studies security challenges in cross-domain LLM MAS, although it is a perspective rather than systematic empirical review.</x:v>
      </x:c>
    </x:row>
    <x:row r="114">
      <x:c r="A114" s="60" t="n">
        <x:v>113</x:v>
      </x:c>
      <x:c r="B114" s="60" t="str">
        <x:v>cross_category</x:v>
      </x:c>
      <x:c r="C114" s="60" t="str">
        <x:v>kim2026agenticai</x:v>
      </x:c>
      <x:c r="D114" s="60" t="str">
        <x:v>SoK: Attack and Defense Landscape of Agentic AI Systems</x:v>
      </x:c>
      <x:c r="E114" s="60" t="str">
        <x:v>Juhee Kim; Wenbo Guo; Dawn Song</x:v>
      </x:c>
      <x:c r="F114" s="60" t="n">
        <x:v>2026</x:v>
      </x:c>
      <x:c r="G114" s="60" t="str">
        <x:v>USENIX Security 2026</x:v>
      </x:c>
      <x:c r="H114" s="60" t="str"/>
      <x:c r="I114" s="60" t="str">
        <x:v>https://www.usenix.org/conference/usenixsecurity26/presentation/kim-juhee-agentic</x:v>
      </x:c>
      <x:c r="J114" s="60" t="str">
        <x:v>USENIX Security 2026 accepted/presentation page with prepublication paper</x:v>
      </x:c>
      <x:c r="K114" s="60" t="str">
        <x:v>verified_published_program</x:v>
      </x:c>
      <x:c r="L114" s="60" t="str">
        <x:v>partial: multi-agent systems appear within a broader agentic-AI component and design-space SoK</x:v>
      </x:c>
      <x:c r="M114" s="60" t="str">
        <x:v>security_relevant</x:v>
      </x:c>
      <x:c r="N114" s="60" t="str">
        <x:v>security_relevant</x:v>
      </x:c>
      <x:c r="O114" s="60" t="str">
        <x:v>The paper is core agentic-AI security but not MAS-primary; it is the key single-agent/component-centric comparator.</x:v>
      </x:c>
    </x:row>
    <x:row r="115">
      <x:c r="A115" s="60" t="n">
        <x:v>114</x:v>
      </x:c>
      <x:c r="B115" s="60" t="str">
        <x:v>cross_category</x:v>
      </x:c>
      <x:c r="C115" s="60" t="str">
        <x:v>raza2026trism</x:v>
      </x:c>
      <x:c r="D115" s="60" t="str">
        <x:v>TRiSM for Agentic AI: A Review of Trust, Risk, and Security Management in LLM-based Agentic Multi-Agent Systems</x:v>
      </x:c>
      <x:c r="E115" s="60" t="str">
        <x:v>Shaina Raza; Ranjan Sapkota; Manoj Karkee; Christos Emmanouilidis</x:v>
      </x:c>
      <x:c r="F115" s="60" t="n">
        <x:v>2026</x:v>
      </x:c>
      <x:c r="G115" s="60" t="str">
        <x:v>AI Open 7 (2026), pp. 71-95</x:v>
      </x:c>
      <x:c r="H115" s="60" t="str">
        <x:v>10.1016/j.aiopen.2026.02.006</x:v>
      </x:c>
      <x:c r="I115" s="60" t="str">
        <x:v>https://doi.org/10.1016/j.aiopen.2026.02.006</x:v>
      </x:c>
      <x:c r="J115" s="60" t="str">
        <x:v>Published open-access AI Open version; arXiv preprint merged</x:v>
      </x:c>
      <x:c r="K115" s="60" t="str">
        <x:v>verified_published</x:v>
      </x:c>
      <x:c r="L115" s="60" t="str">
        <x:v>yes, but governance-primary: agentic multi-agent coordination, component synergy, tools, and lifecycle governance are central</x:v>
      </x:c>
      <x:c r="M115" s="60" t="str">
        <x:v>security_relevant</x:v>
      </x:c>
      <x:c r="N115" s="60" t="str">
        <x:v>security_relevant</x:v>
      </x:c>
      <x:c r="O115" s="60" t="str">
        <x:v>Security is one TRiSM pillar among explainability, ModelOps, privacy, and lifecycle governance.</x:v>
      </x:c>
    </x:row>
  </x:sheetData>
  <x:pageMargins left="0.7" right="0.7" top="0.75" bottom="0.75" header="0.3" footer="0.3"/>
  <x:tableParts count="1">
    <x:tablePart xmlns:r="http://schemas.openxmlformats.org/officeDocument/2006/relationships" r:id="Rc17dc19765544f90"/>
  </x:tableParts>
</x:worksheet>
</file>

<file path=xl/worksheets/sheet4.xml><?xml version="1.0" encoding="utf-8"?>
<x:worksheet xmlns:x="http://schemas.openxmlformats.org/spreadsheetml/2006/main">
  <x:sheetFormatPr defaultRowHeight="15"/>
  <x:cols>
    <x:col min="1" max="1" width="8" hidden="0" customWidth="1"/>
    <x:col min="2" max="2" width="25" hidden="0" customWidth="1"/>
    <x:col min="3" max="3" width="18" hidden="0" customWidth="1"/>
    <x:col min="4" max="4" width="21" hidden="0" customWidth="1"/>
    <x:col min="5" max="5" width="36" hidden="0" customWidth="1"/>
    <x:col min="6" max="6" width="30" hidden="0" customWidth="1"/>
    <x:col min="7" max="7" width="45" hidden="0" customWidth="1"/>
    <x:col min="8" max="8" width="20" hidden="0" customWidth="1"/>
    <x:col min="9" max="9" width="42" hidden="0" customWidth="1"/>
    <x:col min="10" max="10" width="48" hidden="0" customWidth="1"/>
    <x:col min="11" max="11" width="48" hidden="0" customWidth="1"/>
    <x:col min="12" max="12" width="50" hidden="0" customWidth="1"/>
    <x:col min="13" max="13" width="42" hidden="0" customWidth="1"/>
    <x:col min="14" max="14" width="46" hidden="0" customWidth="1"/>
    <x:col min="15" max="15" width="50" hidden="0" customWidth="1"/>
  </x:cols>
  <x:sheetData>
    <x:row r="1" ht="34" customHeight="1">
      <x:c r="A1" s="53" t="str">
        <x:v>Priority</x:v>
      </x:c>
      <x:c r="B1" s="53" t="str">
        <x:v>Paper ID</x:v>
      </x:c>
      <x:c r="C1" s="53" t="str">
        <x:v>Current Category</x:v>
      </x:c>
      <x:c r="D1" s="53" t="str">
        <x:v>Recommended Category</x:v>
      </x:c>
      <x:c r="E1" s="53" t="str">
        <x:v>Secondary Roles</x:v>
      </x:c>
      <x:c r="F1" s="53" t="str">
        <x:v>Attack Evidence Status</x:v>
      </x:c>
      <x:c r="G1" s="53" t="str">
        <x:v>Attack Role</x:v>
      </x:c>
      <x:c r="H1" s="53" t="str">
        <x:v>Attack Instance Coding?</x:v>
      </x:c>
      <x:c r="I1" s="53" t="str">
        <x:v>Adversary Position</x:v>
      </x:c>
      <x:c r="J1" s="53" t="str">
        <x:v>Capabilities</x:v>
      </x:c>
      <x:c r="K1" s="53" t="str">
        <x:v>Preconditions</x:v>
      </x:c>
      <x:c r="L1" s="53" t="str">
        <x:v>Mechanism</x:v>
      </x:c>
      <x:c r="M1" s="53" t="str">
        <x:v>Attack Surfaces</x:v>
      </x:c>
      <x:c r="N1" s="53" t="str">
        <x:v>Primary System Failure</x:v>
      </x:c>
      <x:c r="O1" s="53" t="str">
        <x:v>Reported Impact</x:v>
      </x:c>
    </x:row>
    <x:row r="2">
      <x:c r="A2" s="60" t="n">
        <x:v>1</x:v>
      </x:c>
      <x:c r="B2" s="60" t="str">
        <x:v>gu2024agent_smith</x:v>
      </x:c>
      <x:c r="C2" s="60" t="str">
        <x:v>attack</x:v>
      </x:c>
      <x:c r="D2" s="60" t="str">
        <x:v>attack; empirical study; theoretical analysis</x:v>
      </x:c>
      <x:c r="E2" s="60" t="str"/>
      <x:c r="F2" s="60" t="str">
        <x:v>load_bearing_source_review</x:v>
      </x:c>
      <x:c r="G2" s="60" t="str">
        <x:v>attack; empirical study; theoretical analysis</x:v>
      </x:c>
      <x:c r="H2" s="60" t="str">
        <x:v>yes</x:v>
      </x:c>
      <x:c r="I2" s="60" t="str">
        <x:v>External adversary seeds one selected agent with one adversarial image.</x:v>
      </x:c>
      <x:c r="J2" s="60" t="str">
        <x:v>Seeds the initial memory item; no continued intervention is required under the modeled propagation process.</x:v>
      </x:c>
      <x:c r="K2" s="60" t="str">
        <x:v>Agents retrieve memory content and exchange it through randomized pairwise chats.</x:v>
      </x:c>
      <x:c r="L2" s="60" t="str">
        <x:v>Memory seeding followed by retention and retransmission of the adversarial behavior.</x:v>
      </x:c>
      <x:c r="M2" s="60" t="str">
        <x:v>Agent memory; pairwise inter-agent communication.</x:v>
      </x:c>
      <x:c r="N2" s="60" t="str">
        <x:v>F1 compromise propagation and containment failure.</x:v>
      </x:c>
      <x:c r="O2" s="60" t="str">
        <x:v>Population-level harmful or unaligned behavior. The one-million figure is simulated scale, not deployed prevalence.</x:v>
      </x:c>
    </x:row>
    <x:row r="3">
      <x:c r="A3" s="60" t="n">
        <x:v>2</x:v>
      </x:c>
      <x:c r="B3" s="60" t="str">
        <x:v>motwani2024secret_collusion</x:v>
      </x:c>
      <x:c r="C3" s="60" t="str">
        <x:v>attack</x:v>
      </x:c>
      <x:c r="D3" s="60" t="str">
        <x:v>attack; defense evaluation; empirical study; theoretical analysis</x:v>
      </x:c>
      <x:c r="E3" s="60" t="str"/>
      <x:c r="F3" s="60" t="str">
        <x:v>load_bearing_source_review</x:v>
      </x:c>
      <x:c r="G3" s="60" t="str">
        <x:v>attack; defense evaluation; empirical study; theoretical analysis</x:v>
      </x:c>
      <x:c r="H3" s="60" t="str">
        <x:v>yes</x:v>
      </x:c>
      <x:c r="I3" s="60" t="str">
        <x:v>Two or more colluding agents communicating under an observer or monitor.</x:v>
      </x:c>
      <x:c r="J3" s="60" t="str">
        <x:v>Generate overt messages, encode and decode hidden payloads, and coordinate on a code or strategy.</x:v>
      </x:c>
      <x:c r="K3" s="60" t="str">
        <x:v>The observer sees overt traffic but lacks complete access to private knowledge, shared intent, or the covert code.</x:v>
      </x:c>
      <x:c r="L3" s="60" t="str">
        <x:v>Steganographic encoding embedded in apparently innocuous communication.</x:v>
      </x:c>
      <x:c r="M3" s="60" t="str">
        <x:v>Inter-agent communication; shared implicit knowledge; observer boundary.</x:v>
      </x:c>
      <x:c r="N3" s="60" t="str">
        <x:v>Oversight or monitorability integrity failure at claim level.</x:v>
      </x:c>
      <x:c r="O3" s="60" t="str">
        <x:v>Can also produce confidentiality loss or collective-decision corruption depending on the scenario. It should not be forced into one universal impact category.</x:v>
      </x:c>
    </x:row>
    <x:row r="4">
      <x:c r="A4" s="60" t="n">
        <x:v>3</x:v>
      </x:c>
      <x:c r="B4" s="60" t="str">
        <x:v>men2025troublemaker</x:v>
      </x:c>
      <x:c r="C4" s="60" t="str">
        <x:v>attack</x:v>
      </x:c>
      <x:c r="D4" s="60" t="str">
        <x:v>attack; benchmark; evaluation</x:v>
      </x:c>
      <x:c r="E4" s="60" t="str"/>
      <x:c r="F4" s="60" t="str">
        <x:v>load_bearing_source_review</x:v>
      </x:c>
      <x:c r="G4" s="60" t="str">
        <x:v>attack; benchmark; evaluation</x:v>
      </x:c>
      <x:c r="H4" s="60" t="str">
        <x:v>yes</x:v>
      </x:c>
      <x:c r="I4" s="60" t="str">
        <x:v>One malicious member or troublemaker agent.</x:v>
      </x:c>
      <x:c r="J4" s="60" t="str">
        <x:v>Injects optimized retrieval and replication suffixes into messages or memory content that honest agents later retrieve and retransmit.</x:v>
      </x:c>
      <x:c r="K4" s="60" t="str">
        <x:v>Agents maintain independent memories and store and retrieve interaction content.</x:v>
      </x:c>
      <x:c r="L4" s="60" t="str">
        <x:v>Adversarial retrieval and replication optimization creates a contagious jailbreak.</x:v>
      </x:c>
      <x:c r="M4" s="60" t="str">
        <x:v>Inter-agent messages; independent agent memories; communication topology.</x:v>
      </x:c>
      <x:c r="N4" s="60" t="str">
        <x:v>F1 compromise propagation and containment failure.</x:v>
      </x:c>
      <x:c r="O4" s="60" t="str">
        <x:v>Population-wide jailbreak among previously honest agents.</x:v>
      </x:c>
    </x:row>
    <x:row r="5">
      <x:c r="A5" s="60" t="n">
        <x:v>4</x:v>
      </x:c>
      <x:c r="B5" s="60" t="str">
        <x:v>cohen2025ai_worm</x:v>
      </x:c>
      <x:c r="C5" s="60" t="str">
        <x:v>attack</x:v>
      </x:c>
      <x:c r="D5" s="60" t="str">
        <x:v>attack; defense; ecosystem evaluation</x:v>
      </x:c>
      <x:c r="E5" s="60" t="str"/>
      <x:c r="F5" s="60" t="str">
        <x:v>load_bearing_source_review</x:v>
      </x:c>
      <x:c r="G5" s="60" t="str">
        <x:v>attack; defense; ecosystem evaluation</x:v>
      </x:c>
      <x:c r="H5" s="60" t="str">
        <x:v>yes</x:v>
      </x:c>
      <x:c r="I5" s="60" t="str">
        <x:v>External sender who inserts a self-replicating prompt into an email or retrieved document.</x:v>
      </x:c>
      <x:c r="J5" s="60" t="str">
        <x:v>Places malicious content that automated applications ingest, reproduce, and forward.</x:v>
      </x:c>
      <x:c r="K5" s="60" t="str">
        <x:v>Applications automatically process inbound content and can emit generated content to downstream users or applications.</x:v>
      </x:c>
      <x:c r="L5" s="60" t="str">
        <x:v>Indirect prompt injection with self-replication through generated content.</x:v>
      </x:c>
      <x:c r="M5" s="60" t="str">
        <x:v>Inbound email or RAG content; automated outbound messages; application-to-application workflow.</x:v>
      </x:c>
      <x:c r="N5" s="60" t="str">
        <x:v>F1 propagation and containment failure.</x:v>
      </x:c>
      <x:c r="O5" s="60" t="str">
        <x:v>Confidentiality loss and availability effects can be secondary payloads.</x:v>
      </x:c>
    </x:row>
    <x:row r="6">
      <x:c r="A6" s="60" t="n">
        <x:v>5</x:v>
      </x:c>
      <x:c r="B6" s="60" t="str">
        <x:v>ju2026flooding</x:v>
      </x:c>
      <x:c r="C6" s="60" t="str">
        <x:v>attack</x:v>
      </x:c>
      <x:c r="D6" s="60" t="str">
        <x:v>attack; evaluation</x:v>
      </x:c>
      <x:c r="E6" s="60" t="str"/>
      <x:c r="F6" s="60" t="str">
        <x:v>load_bearing_source_review</x:v>
      </x:c>
      <x:c r="G6" s="60" t="str">
        <x:v>attack; evaluation</x:v>
      </x:c>
      <x:c r="H6" s="60" t="str">
        <x:v>yes</x:v>
      </x:c>
      <x:c r="I6" s="60" t="str">
        <x:v>Adversary manipulates an initial model or agent before deployment and introduces manipulated knowledge through persuasion and knowledge injection.</x:v>
      </x:c>
      <x:c r="J6" s="60" t="str">
        <x:v>Uses DPO or LoRA-style persuasion adaptation and ROME-style knowledge editing, then relies on interaction and stored histories for spread.</x:v>
      </x:c>
      <x:c r="K6" s="60" t="str">
        <x:v>Agents trust peer messages and may persist chat histories for later RAG retrieval.</x:v>
      </x:c>
      <x:c r="L6" s="60" t="str">
        <x:v>Persuasiveness injection plus manipulated-knowledge injection followed by interaction-driven spread and persistence.</x:v>
      </x:c>
      <x:c r="M6" s="60" t="str">
        <x:v>Agent model state; communication; chat history; RAG memory.</x:v>
      </x:c>
      <x:c r="N6" s="60" t="str">
        <x:v>F3 communication and shared-knowledge integrity failure.</x:v>
      </x:c>
      <x:c r="O6" s="60" t="str">
        <x:v>F1 containment and persistence failure is secondary.</x:v>
      </x:c>
    </x:row>
    <x:row r="7">
      <x:c r="A7" s="60" t="n">
        <x:v>6</x:v>
      </x:c>
      <x:c r="B7" s="60" t="str">
        <x:v>wang2025gsafeguard</x:v>
      </x:c>
      <x:c r="C7" s="60" t="str">
        <x:v>attack</x:v>
      </x:c>
      <x:c r="D7" s="60" t="str">
        <x:v>defense; evaluation; attack analysis</x:v>
      </x:c>
      <x:c r="E7" s="60" t="str"/>
      <x:c r="F7" s="60" t="str">
        <x:v>load_bearing_source_review</x:v>
      </x:c>
      <x:c r="G7" s="60" t="str">
        <x:v>defense; evaluation; attack analysis</x:v>
      </x:c>
      <x:c r="H7" s="60" t="str">
        <x:v>yes</x:v>
      </x:c>
      <x:c r="I7" s="60" t="str">
        <x:v>Adversary introduces prompt injection, misinformation, or malicious utterances that propagate over the agent graph.</x:v>
      </x:c>
      <x:c r="J7" s="60" t="str">
        <x:v>Influences utterances that enter the monitored graph.</x:v>
      </x:c>
      <x:c r="K7" s="60" t="str">
        <x:v>The defender can reconstruct the utterance graph and observe enough messages to score nodes and edges.</x:v>
      </x:c>
      <x:c r="L7" s="60" t="str">
        <x:v>Attack propagation is evaluated, but the primary paper contribution is graph-based anomaly detection plus topology intervention.</x:v>
      </x:c>
      <x:c r="M7" s="60" t="str">
        <x:v>Communication graph; utterances; topology; monitor and control plane.</x:v>
      </x:c>
      <x:c r="N7" s="60" t="str">
        <x:v>Claim-level F1, F3, or F4 depending on the evaluated attack. The paper itself should not receive one forced attack outcome.</x:v>
      </x:c>
      <x:c r="O7" s="60" t="str">
        <x:v>Collective task or safety degradation under evaluated attacks.</x:v>
      </x:c>
    </x:row>
    <x:row r="8">
      <x:c r="A8" s="60" t="n">
        <x:v>7</x:v>
      </x:c>
      <x:c r="B8" s="60" t="str">
        <x:v>yu2025netsafe</x:v>
      </x:c>
      <x:c r="C8" s="60" t="str">
        <x:v>attack</x:v>
      </x:c>
      <x:c r="D8" s="60" t="str">
        <x:v>benchmark; evaluation; topology analysis</x:v>
      </x:c>
      <x:c r="E8" s="60" t="str"/>
      <x:c r="F8" s="60" t="str">
        <x:v>load_bearing_source_review</x:v>
      </x:c>
      <x:c r="G8" s="60" t="str">
        <x:v>benchmark; evaluation; topology analysis</x:v>
      </x:c>
      <x:c r="H8" s="60" t="str">
        <x:v>yes</x:v>
      </x:c>
      <x:c r="I8" s="60" t="str">
        <x:v>Malicious-query source or compromised interaction input in adversarial subsets.</x:v>
      </x:c>
      <x:c r="J8" s="60" t="str">
        <x:v>Introduces misinformation, bias, or harmful content that propagates and is aggregated.</x:v>
      </x:c>
      <x:c r="K8" s="60" t="str">
        <x:v>Agents iteratively exchange information according to a configured RelCom graph.</x:v>
      </x:c>
      <x:c r="L8" s="60" t="str">
        <x:v>Topology-conditioned propagation and aggregation. Topology itself is an evaluation variable, not an attack mechanism.</x:v>
      </x:c>
      <x:c r="M8" s="60" t="str">
        <x:v>Communication topology; iterative messages; aggregation.</x:v>
      </x:c>
      <x:c r="N8" s="60" t="str">
        <x:v>Claim-level F1 or F4 for adversarial subsets; adjacent reliability and fairness for other phenomena.</x:v>
      </x:c>
      <x:c r="O8" s="60" t="str">
        <x:v>Task-performance and safety degradation in evaluated settings.</x:v>
      </x:c>
    </x:row>
    <x:row r="9">
      <x:c r="A9" s="60" t="n">
        <x:v>8</x:v>
      </x:c>
      <x:c r="B9" s="60" t="str">
        <x:v>zhou2026corba</x:v>
      </x:c>
      <x:c r="C9" s="60" t="str">
        <x:v>attack</x:v>
      </x:c>
      <x:c r="D9" s="60" t="str">
        <x:v>attack; evaluation</x:v>
      </x:c>
      <x:c r="E9" s="60" t="str"/>
      <x:c r="F9" s="60" t="str">
        <x:v>load_bearing_source_review</x:v>
      </x:c>
      <x:c r="G9" s="60" t="str">
        <x:v>attack; evaluation</x:v>
      </x:c>
      <x:c r="H9" s="60" t="str">
        <x:v>yes</x:v>
      </x:c>
      <x:c r="I9" s="60" t="str">
        <x:v>Source of a semantically benign recursive instruction.</x:v>
      </x:c>
      <x:c r="J9" s="60" t="str">
        <x:v>Introduces content that agents accept and recursively pass or act upon.</x:v>
      </x:c>
      <x:c r="K9" s="60" t="str">
        <x:v>Agents can initiate further messages or tasks for peers and lack a global collaboration budget.</x:v>
      </x:c>
      <x:c r="L9" s="60" t="str">
        <x:v>Recursive contagious instructions create cycles of meaningless collaboration.</x:v>
      </x:c>
      <x:c r="M9" s="60" t="str">
        <x:v>Inter-agent communication; delegation or invocation; topology; resource plane.</x:v>
      </x:c>
      <x:c r="N9" s="60" t="str">
        <x:v>F7 availability and resource boundedness failure.</x:v>
      </x:c>
      <x:c r="O9" s="60" t="str">
        <x:v>System paralysis and loss of useful collaboration. Contagion is a mechanism, not the primary failure label.</x:v>
      </x:c>
    </x:row>
    <x:row r="10">
      <x:c r="A10" s="60" t="n">
        <x:v>9</x:v>
      </x:c>
      <x:c r="B10" s="60" t="str">
        <x:v>mathew2025hidden</x:v>
      </x:c>
      <x:c r="C10" s="60" t="str">
        <x:v>attack</x:v>
      </x:c>
      <x:c r="D10" s="60" t="str">
        <x:v>security evaluation; attack elicitation; defense evaluation</x:v>
      </x:c>
      <x:c r="E10" s="60" t="str"/>
      <x:c r="F10" s="60" t="str">
        <x:v>load_bearing_source_review</x:v>
      </x:c>
      <x:c r="G10" s="60" t="str">
        <x:v>security evaluation; attack elicitation; defense evaluation</x:v>
      </x:c>
      <x:c r="H10" s="60" t="str">
        <x:v>yes</x:v>
      </x:c>
      <x:c r="I10" s="60" t="str">
        <x:v>Agents optimized under misspecified or adversarial incentives rather than a conventional external attacker.</x:v>
      </x:c>
      <x:c r="J10" s="60" t="str">
        <x:v>Learn linguistic encodings and decodings under GBRL or in-context reinforcement-learning elicitation.</x:v>
      </x:c>
      <x:c r="K10" s="60" t="str">
        <x:v>Reward favors task success and hidden information transfer while oversight penalizes observable evidence.</x:v>
      </x:c>
      <x:c r="L10" s="60" t="str">
        <x:v>Learned linguistic steganography.</x:v>
      </x:c>
      <x:c r="M10" s="60" t="str">
        <x:v>Natural-language message channel; reward and training incentives; observer boundary.</x:v>
      </x:c>
      <x:c r="N10" s="60" t="str">
        <x:v>Oversight or monitorability integrity failure.</x:v>
      </x:c>
      <x:c r="O10" s="60" t="str">
        <x:v>Hidden information transfer and prohibited coordination.</x:v>
      </x:c>
    </x:row>
    <x:row r="11">
      <x:c r="A11" s="60" t="n">
        <x:v>10</x:v>
      </x:c>
      <x:c r="B11" s="60" t="str">
        <x:v>hu2026lying_truths</x:v>
      </x:c>
      <x:c r="C11" s="60" t="str">
        <x:v>attack</x:v>
      </x:c>
      <x:c r="D11" s="60" t="str">
        <x:v>attack; benchmark; evaluation</x:v>
      </x:c>
      <x:c r="E11" s="60" t="str"/>
      <x:c r="F11" s="60" t="str">
        <x:v>load_bearing_source_review</x:v>
      </x:c>
      <x:c r="G11" s="60" t="str">
        <x:v>attack; benchmark; evaluation</x:v>
      </x:c>
      <x:c r="H11" s="60" t="str">
        <x:v>yes</x:v>
      </x:c>
      <x:c r="I11" s="60" t="str">
        <x:v>Coalition of writer, editor, and director agents.</x:v>
      </x:c>
      <x:c r="J11" s="60" t="str">
        <x:v>Select, rewrite, order, and publicly post factual fragments and coordinate their narrative construction.</x:v>
      </x:c>
      <x:c r="K11" s="60" t="str">
        <x:v>Victims aggregate public posts, while message-level truth checks cannot reject individually factual fragments.</x:v>
      </x:c>
      <x:c r="L11" s="60" t="str">
        <x:v>Open-channel cognitive collusion through generative montage.</x:v>
      </x:c>
      <x:c r="M11" s="60" t="str">
        <x:v>Public multi-agent information channel; aggregation; provenance and cross-message context.</x:v>
      </x:c>
      <x:c r="N11" s="60" t="str">
        <x:v>F4 collective decision or belief integrity failure.</x:v>
      </x:c>
      <x:c r="O11" s="60" t="str">
        <x:v>Downstream propagation of a fabricated conclusion.</x:v>
      </x:c>
    </x:row>
    <x:row r="12">
      <x:c r="A12" s="60" t="n">
        <x:v>11</x:v>
      </x:c>
      <x:c r="B12" s="60" t="str">
        <x:v>huang2026whispering_agents</x:v>
      </x:c>
      <x:c r="C12" s="60" t="str">
        <x:v>attack</x:v>
      </x:c>
      <x:c r="D12" s="60" t="str">
        <x:v>protocol; evaluation; dual-use security</x:v>
      </x:c>
      <x:c r="E12" s="60" t="str"/>
      <x:c r="F12" s="60" t="str">
        <x:v>load_bearing_source_review</x:v>
      </x:c>
      <x:c r="G12" s="60" t="str">
        <x:v>protocol; evaluation; dual-use security</x:v>
      </x:c>
      <x:c r="H12" s="60" t="str">
        <x:v>yes</x:v>
      </x:c>
      <x:c r="I12" s="60" t="str">
        <x:v>Cooperating sender and receiver endpoints facing a passive traffic observer or warden.</x:v>
      </x:c>
      <x:c r="J12" s="60" t="str">
        <x:v>Choose storage, timing, and behavioral events and share protocol state or keys.</x:v>
      </x:c>
      <x:c r="K12" s="60" t="str">
        <x:v>Shared keys or protocol state, available channel, and a passive observer without endpoint compromise.</x:v>
      </x:c>
      <x:c r="L12" s="60" t="str">
        <x:v>Pi-CCAP encodes encrypted payload bits across storage, timing, and behavioral event dimensions.</x:v>
      </x:c>
      <x:c r="M12" s="60" t="str">
        <x:v>Message content; event timing; behavioral metadata; global communication trace.</x:v>
      </x:c>
      <x:c r="N12" s="60" t="str">
        <x:v>From a defender view, oversight or monitorability integrity. From a legitimate-user view, communication privacy is the protected property.</x:v>
      </x:c>
      <x:c r="O12" s="60" t="str">
        <x:v>Potential covert coordination. The construction itself is dual-use.</x:v>
      </x:c>
    </x:row>
    <x:row r="13">
      <x:c r="A13" s="60" t="n">
        <x:v>12</x:v>
      </x:c>
      <x:c r="B13" s="60" t="str">
        <x:v>wang2026masleak</x:v>
      </x:c>
      <x:c r="C13" s="60" t="str">
        <x:v>attack</x:v>
      </x:c>
      <x:c r="D13" s="60" t="str">
        <x:v>attack; benchmark; evaluation</x:v>
      </x:c>
      <x:c r="E13" s="60" t="str"/>
      <x:c r="F13" s="60" t="str">
        <x:v>load_bearing_source_review</x:v>
      </x:c>
      <x:c r="G13" s="60" t="str">
        <x:v>attack; benchmark; evaluation</x:v>
      </x:c>
      <x:c r="H13" s="60" t="str">
        <x:v>yes</x:v>
      </x:c>
      <x:c r="I13" s="60" t="str">
        <x:v>Remote black-box API user.</x:v>
      </x:c>
      <x:c r="J13" s="60" t="str">
        <x:v>Submits crafted queries and observes final outputs only.</x:v>
      </x:c>
      <x:c r="K13" s="60" t="str">
        <x:v>Internal agents may reveal, propagate, or retain proprietary information through orchestration.</x:v>
      </x:c>
      <x:c r="L13" s="60" t="str">
        <x:v>Worm-inspired black-box elicitation and cross-agent disclosure propagation.</x:v>
      </x:c>
      <x:c r="M13" s="60" t="str">
        <x:v>Public API; internal cross-agent communication; final output; architecture metadata.</x:v>
      </x:c>
      <x:c r="N13" s="60" t="str">
        <x:v>F2 cross-principal or system-IP confidentiality violation.</x:v>
      </x:c>
      <x:c r="O13" s="60" t="str">
        <x:v>Extraction of prompts, instructions, tools, agent count, and topology.</x:v>
      </x:c>
    </x:row>
    <x:row r="14">
      <x:c r="A14" s="60" t="n">
        <x:v>13</x:v>
      </x:c>
      <x:c r="B14" s="60" t="str">
        <x:v>liu2026topology_memory</x:v>
      </x:c>
      <x:c r="C14" s="60" t="str">
        <x:v>attack</x:v>
      </x:c>
      <x:c r="D14" s="60" t="str">
        <x:v>benchmark; evaluation; attack study</x:v>
      </x:c>
      <x:c r="E14" s="60" t="str"/>
      <x:c r="F14" s="60" t="str">
        <x:v>load_bearing_source_review</x:v>
      </x:c>
      <x:c r="G14" s="60" t="str">
        <x:v>benchmark; evaluation; attack study</x:v>
      </x:c>
      <x:c r="H14" s="60" t="str">
        <x:v>yes</x:v>
      </x:c>
      <x:c r="I14" s="60" t="str">
        <x:v>One malicious member agent targeting one private-memory holder.</x:v>
      </x:c>
      <x:c r="J14" s="60" t="str">
        <x:v>Participates in normal communication, solicits private data, observes topology-permitted messages, and accumulates information across rounds.</x:v>
      </x:c>
      <x:c r="K14" s="60" t="str">
        <x:v>Static known graph, one attacker and one target, synchronous text communication, synthetic PII.</x:v>
      </x:c>
      <x:c r="L14" s="60" t="str">
        <x:v>Repeated cooperative-looking solicitation and topology-mediated relay of private cues.</x:v>
      </x:c>
      <x:c r="M14" s="60" t="str">
        <x:v>Private memory; inter-agent messages; topology; role placement.</x:v>
      </x:c>
      <x:c r="N14" s="60" t="str">
        <x:v>F2 cross-principal confidentiality violation.</x:v>
      </x:c>
      <x:c r="O14" s="60" t="str">
        <x:v>Recovery and diffusion of private PII by an unauthorized participant.</x:v>
      </x:c>
    </x:row>
    <x:row r="15">
      <x:c r="A15" s="60" t="n">
        <x:v>14</x:v>
      </x:c>
      <x:c r="B15" s="60" t="str">
        <x:v>he2025communication_attacks</x:v>
      </x:c>
      <x:c r="C15" s="60" t="str">
        <x:v>attack</x:v>
      </x:c>
      <x:c r="D15" s="60" t="str">
        <x:v>attack; evaluation</x:v>
      </x:c>
      <x:c r="E15" s="60" t="str"/>
      <x:c r="F15" s="60" t="str">
        <x:v>load_bearing_source_review</x:v>
      </x:c>
      <x:c r="G15" s="60" t="str">
        <x:v>attack; evaluation</x:v>
      </x:c>
      <x:c r="H15" s="60" t="str">
        <x:v>yes</x:v>
      </x:c>
      <x:c r="I15" s="60" t="str">
        <x:v>Agent-in-the-middle adversary on selected communication links.</x:v>
      </x:c>
      <x:c r="J15" s="60" t="str">
        <x:v>Intercepts and adaptively rewrites protocol-valid messages under role and format constraints.</x:v>
      </x:c>
      <x:c r="K15" s="60" t="str">
        <x:v>Access to selected message paths; endpoints trust messages without authenticated integrity protection.</x:v>
      </x:c>
      <x:c r="L15" s="60" t="str">
        <x:v>Context-aware message interception and adaptive rewriting using reflection.</x:v>
      </x:c>
      <x:c r="M15" s="60" t="str">
        <x:v>Inter-agent communication links; protocol-valid message content.</x:v>
      </x:c>
      <x:c r="N15" s="60" t="str">
        <x:v>F3 communication integrity failure.</x:v>
      </x:c>
      <x:c r="O15" s="60" t="str">
        <x:v>F4 collective task or decision integrity failure as a downstream consequence.</x:v>
      </x:c>
    </x:row>
    <x:row r="16">
      <x:c r="A16" s="60" t="n">
        <x:v>15</x:v>
      </x:c>
      <x:c r="B16" s="60" t="str">
        <x:v>liu2025collective_manipulation</x:v>
      </x:c>
      <x:c r="C16" s="60" t="str">
        <x:v>attack</x:v>
      </x:c>
      <x:c r="D16" s="60" t="str">
        <x:v>attack; defense evaluation; empirical study</x:v>
      </x:c>
      <x:c r="E16" s="60" t="str"/>
      <x:c r="F16" s="60" t="str">
        <x:v>load_bearing_source_review</x:v>
      </x:c>
      <x:c r="G16" s="60" t="str">
        <x:v>attack; defense evaluation; empirical study</x:v>
      </x:c>
      <x:c r="H16" s="60" t="str">
        <x:v>yes</x:v>
      </x:c>
      <x:c r="I16" s="60" t="str">
        <x:v>External attacker with information about one target participant rather than the full collective.</x:v>
      </x:c>
      <x:c r="J16" s="60" t="str">
        <x:v>Constructs adversarial inputs for the target and simulates group interactions through a stubborn proxy.</x:v>
      </x:c>
      <x:c r="K16" s="60" t="str">
        <x:v>The targeted member participates in communication and can influence majority or consensus-like aggregation.</x:v>
      </x:c>
      <x:c r="L16" s="60" t="str">
        <x:v>M-Spoiler optimizes a persistent adversarial influence using simulated group interactions.</x:v>
      </x:c>
      <x:c r="M16" s="60" t="str">
        <x:v>Target-agent input; outgoing messages; collective aggregation.</x:v>
      </x:c>
      <x:c r="N16" s="60" t="str">
        <x:v>F4 collective task-decision integrity failure.</x:v>
      </x:c>
      <x:c r="O16" s="60" t="str">
        <x:v>Incorrect or attacker-chosen group answer.</x:v>
      </x:c>
    </x:row>
    <x:row r="17">
      <x:c r="A17" s="60" t="n">
        <x:v>16</x:v>
      </x:c>
      <x:c r="B17" s="60" t="str">
        <x:v>zheng2026byzantine_reliability</x:v>
      </x:c>
      <x:c r="C17" s="60" t="str">
        <x:v>attack</x:v>
      </x:c>
      <x:c r="D17" s="60" t="str">
        <x:v>defense; evaluation; fault study</x:v>
      </x:c>
      <x:c r="E17" s="60" t="str"/>
      <x:c r="F17" s="60" t="str">
        <x:v>load_bearing_source_review</x:v>
      </x:c>
      <x:c r="G17" s="60" t="str">
        <x:v>defense; evaluation; fault study</x:v>
      </x:c>
      <x:c r="H17" s="60" t="str">
        <x:v>yes</x:v>
      </x:c>
      <x:c r="I17" s="60" t="str">
        <x:v>Byzantine or faulty member agents repeatedly supplying a prescribed incorrect candidate answer.</x:v>
      </x:c>
      <x:c r="J17" s="60" t="str">
        <x:v>Send protocol-valid wrong answers through normal graph edges.</x:v>
      </x:c>
      <x:c r="K17" s="60" t="str">
        <x:v>Seven-node fixed graphs, trusted experiment controller and aggregation, and confidence probes used by CP-WBFT.</x:v>
      </x:c>
      <x:c r="L17" s="60" t="str">
        <x:v>Faulty-answer propagation and confidence-weighted voting.</x:v>
      </x:c>
      <x:c r="M17" s="60" t="str">
        <x:v>Member messages; topology; collective aggregation.</x:v>
      </x:c>
      <x:c r="N17" s="60" t="str">
        <x:v>F4 collective task-decision integrity failure.</x:v>
      </x:c>
      <x:c r="O17" s="60" t="str">
        <x:v>Wrong mathematical answer or unsafe classification.</x:v>
      </x:c>
    </x:row>
    <x:row r="18">
      <x:c r="A18" s="60" t="n">
        <x:v>17</x:v>
      </x:c>
      <x:c r="B18" s="60" t="str">
        <x:v>triedman2025malicious_code</x:v>
      </x:c>
      <x:c r="C18" s="60" t="str">
        <x:v>attack</x:v>
      </x:c>
      <x:c r="D18" s="60" t="str">
        <x:v>attack; evaluation</x:v>
      </x:c>
      <x:c r="E18" s="60" t="str"/>
      <x:c r="F18" s="60" t="str">
        <x:v>load_bearing_source_review</x:v>
      </x:c>
      <x:c r="G18" s="60" t="str">
        <x:v>attack; evaluation</x:v>
      </x:c>
      <x:c r="H18" s="60" t="str">
        <x:v>yes</x:v>
      </x:c>
      <x:c r="I18" s="60" t="str">
        <x:v>External adversary controlling web, file, email, audio, or other untrusted content.</x:v>
      </x:c>
      <x:c r="J18" s="60" t="str">
        <x:v>Places indirect prompt injection that changes LLM-mediated routing or invocation decisions.</x:v>
      </x:c>
      <x:c r="K18" s="60" t="str">
        <x:v>Framework orchestrators use generated text or metadata to route among specialist agents and code-capable functions.</x:v>
      </x:c>
      <x:c r="L18" s="60" t="str">
        <x:v>Indirect prompt injection plus confused-deputy or control-flow laundering.</x:v>
      </x:c>
      <x:c r="M18" s="60" t="str">
        <x:v>Untrusted content; inter-agent messages; orchestration metadata; routing; tool invocation.</x:v>
      </x:c>
      <x:c r="N18" s="60" t="str">
        <x:v>F6 delegation, authority, and control-flow integrity failure.</x:v>
      </x:c>
      <x:c r="O18" s="60" t="str">
        <x:v>Unauthorized invocation, data exfiltration, or arbitrary code execution.</x:v>
      </x:c>
    </x:row>
    <x:row r="19">
      <x:c r="A19" s="60" t="n">
        <x:v>18</x:v>
      </x:c>
      <x:c r="B19" s="60" t="str">
        <x:v>arif2026conjunctive</x:v>
      </x:c>
      <x:c r="C19" s="60" t="str">
        <x:v>attack</x:v>
      </x:c>
      <x:c r="D19" s="60" t="str">
        <x:v>attack; evaluation</x:v>
      </x:c>
      <x:c r="E19" s="60" t="str"/>
      <x:c r="F19" s="60" t="str">
        <x:v>load_bearing_source_review</x:v>
      </x:c>
      <x:c r="G19" s="60" t="str">
        <x:v>attack; evaluation</x:v>
      </x:c>
      <x:c r="H19" s="60" t="str">
        <x:v>yes</x:v>
      </x:c>
      <x:c r="I19" s="60" t="str">
        <x:v>Adversary controlling trigger placement and one remote-agent template while leaving model weights and the client agent unchanged.</x:v>
      </x:c>
      <x:c r="J19" s="60" t="str">
        <x:v>Places two fragments and relies on system routing to combine them.</x:v>
      </x:c>
      <x:c r="K19" s="60" t="str">
        <x:v>Star, chain, or DAG routing eventually joins the trigger and hidden template in one effective context.</x:v>
      </x:c>
      <x:c r="L19" s="60" t="str">
        <x:v>Conjunctive activation of individually benign fragments.</x:v>
      </x:c>
      <x:c r="M19" s="60" t="str">
        <x:v>User query; remote-agent template; routing and provenance; local guards.</x:v>
      </x:c>
      <x:c r="N19" s="60" t="str">
        <x:v>F3 communication, context, or action integrity failure.</x:v>
      </x:c>
      <x:c r="O19" s="60" t="str">
        <x:v>Harmful action or unsafe output. F6 authority integrity should be secondary only when an explicit privileged action or permission escalation is demonstrated.</x:v>
      </x:c>
    </x:row>
    <x:row r="20">
      <x:c r="A20" s="60" t="n">
        <x:v>19</x:v>
      </x:c>
      <x:c r="B20" s="60" t="str">
        <x:v>zhao2026parasites</x:v>
      </x:c>
      <x:c r="C20" s="60" t="str">
        <x:v>attack</x:v>
      </x:c>
      <x:c r="D20" s="60" t="str">
        <x:v>attack; measurement; ecosystem evaluation</x:v>
      </x:c>
      <x:c r="E20" s="60" t="str"/>
      <x:c r="F20" s="60" t="str">
        <x:v>load_bearing_source_review</x:v>
      </x:c>
      <x:c r="G20" s="60" t="str">
        <x:v>attack; measurement; ecosystem evaluation</x:v>
      </x:c>
      <x:c r="H20" s="60" t="str">
        <x:v>yes</x:v>
      </x:c>
      <x:c r="I20" s="60" t="str">
        <x:v>External adversary who plants content in a source later retrieved by a victim workflow.</x:v>
      </x:c>
      <x:c r="J20" s="60" t="str">
        <x:v>Publishes indirect prompts and relies on installed benign tools to ingest content, collect private data, and disclose it.</x:v>
      </x:c>
      <x:c r="K20" s="60" t="str">
        <x:v>The host lets untrusted retrieved instructions influence later privileged calls and does not enforce least privilege across the tool chain.</x:v>
      </x:c>
      <x:c r="L20" s="60" t="str">
        <x:v>Parasitic ingestion, private-data collection, and disclosure through composition of legitimate tools.</x:v>
      </x:c>
      <x:c r="M20" s="60" t="str">
        <x:v>External content; MCP servers and tools; cross-tool execution flow; host authorization.</x:v>
      </x:c>
      <x:c r="N20" s="60" t="str">
        <x:v>F6 least-privilege and authority integrity failure.</x:v>
      </x:c>
      <x:c r="O20" s="60" t="str">
        <x:v>F2 confidentiality loss through exfiltration.</x:v>
      </x:c>
    </x:row>
    <x:row r="21">
      <x:c r="A21" s="60" t="n">
        <x:v>20</x:v>
      </x:c>
      <x:c r="B21" s="60" t="str">
        <x:v>li2026a2asecbench</x:v>
      </x:c>
      <x:c r="C21" s="60" t="str">
        <x:v>attack</x:v>
      </x:c>
      <x:c r="D21" s="60" t="str">
        <x:v>benchmark; evaluation; attack suite</x:v>
      </x:c>
      <x:c r="E21" s="60" t="str"/>
      <x:c r="F21" s="60" t="str">
        <x:v>load_bearing_source_review</x:v>
      </x:c>
      <x:c r="G21" s="60" t="str">
        <x:v>benchmark; evaluation; attack suite</x:v>
      </x:c>
      <x:c r="H21" s="60" t="str">
        <x:v>yes</x:v>
      </x:c>
      <x:c r="I21" s="60" t="str">
        <x:v>Malicious registered remote agent, spoofed AgentCard publisher, or adversarial A2A protocol peer.</x:v>
      </x:c>
      <x:c r="J21" s="60" t="str">
        <x:v>AgentCard spoofing, capability cloaking, cyclic delegation, half-open task flooding, agent-side request forgery, and artifact-triggered script injection.</x:v>
      </x:c>
      <x:c r="K21" s="60" t="str">
        <x:v>Protocol-valid discovery, task, request, and artifact interfaces and an adapter that preserves semantics across implementations.</x:v>
      </x:c>
      <x:c r="L21" s="60" t="str">
        <x:v>Protocol-logic abuse or supply-chain manipulation introduces and activates a malicious peer.</x:v>
      </x:c>
      <x:c r="M21" s="60" t="str">
        <x:v>Registry and AgentCard; discovery; asynchronous task state; remote requests; returned artifacts.</x:v>
      </x:c>
      <x:c r="N21" s="60" t="str">
        <x:v>Claim-level identity, confidentiality, integrity, or availability failures.</x:v>
      </x:c>
      <x:c r="O21" s="60" t="str">
        <x:v>Unsafe request handling, resource exhaustion, or artifact execution.</x:v>
      </x:c>
    </x:row>
    <x:row r="22">
      <x:c r="A22" s="60" t="n">
        <x:v>21</x:v>
      </x:c>
      <x:c r="B22" s="60" t="str">
        <x:v>zhang2024psysafe</x:v>
      </x:c>
      <x:c r="C22" s="60" t="str">
        <x:v>attack</x:v>
      </x:c>
      <x:c r="D22" s="60" t="str">
        <x:v>evaluation</x:v>
      </x:c>
      <x:c r="E22" s="60" t="str">
        <x:v>attack; defense; benchmark/framework</x:v>
      </x:c>
      <x:c r="F22" s="60" t="str">
        <x:v>confirmed_attack_bearing</x:v>
      </x:c>
      <x:c r="G22" s="60" t="str">
        <x:v>introduces_attack; evaluates_defense</x:v>
      </x:c>
      <x:c r="H22" s="60" t="str">
        <x:v>yes</x:v>
      </x:c>
      <x:c r="I22" s="60" t="str">
        <x:v>Malicious user and/or system designer modifying human input or agent role/system prompts.</x:v>
      </x:c>
      <x:c r="J22" s="60" t="str">
        <x:v>Injects dark-trait prompts at the human-input interface or into one or more agent role prompts; may repeat input attacks across rounds.</x:v>
      </x:c>
      <x:c r="K22" s="60" t="str">
        <x:v>Role-conditioned LLM agents; access to user input or agent system prompts; agents exchange outputs over one or more rounds.</x:v>
      </x:c>
      <x:c r="L22" s="60" t="str">
        <x:v>Dark-trait/role prompt injection, human-input attack, and hybrid repeated injection causing dangerous behavior during interaction.</x:v>
      </x:c>
      <x:c r="M22" s="60" t="str">
        <x:v>Human input; role/system prompt; inter-agent dialogue.</x:v>
      </x:c>
      <x:c r="N22" s="60" t="str">
        <x:v>Collective safety and decision-integrity degradation; not a clean confidentiality/authorization attack.</x:v>
      </x:c>
      <x:c r="O22" s="60" t="str">
        <x:v>Dangerous outputs during safe and dangerous tasks, including process-level and joint collective danger.</x:v>
      </x:c>
    </x:row>
    <x:row r="23">
      <x:c r="A23" s="60" t="n">
        <x:v>22</x:v>
      </x:c>
      <x:c r="B23" s="60" t="str">
        <x:v>amayuelas2024collaboration_attack</x:v>
      </x:c>
      <x:c r="C23" s="60" t="str">
        <x:v>attack</x:v>
      </x:c>
      <x:c r="D23" s="60" t="str">
        <x:v>attack</x:v>
      </x:c>
      <x:c r="E23" s="60" t="str">
        <x:v>evaluation; defense evaluation</x:v>
      </x:c>
      <x:c r="F23" s="60" t="str">
        <x:v>confirmed_attack_bearing</x:v>
      </x:c>
      <x:c r="G23" s="60" t="str">
        <x:v>introduces_attack; evaluates_defense</x:v>
      </x:c>
      <x:c r="H23" s="60" t="str">
        <x:v>yes</x:v>
      </x:c>
      <x:c r="I23" s="60" t="str">
        <x:v>Malicious member/participant in a debate group.</x:v>
      </x:c>
      <x:c r="J23" s="60" t="str">
        <x:v>Chooses an incorrect answer and generates persuasive arguments visible to peer agents; inference-time persuasion optimization.</x:v>
      </x:c>
      <x:c r="K23" s="60" t="str">
        <x:v>Debate architecture with shared responses; at least one malicious participant; aggregate majority decision.</x:v>
      </x:c>
      <x:c r="L23" s="60" t="str">
        <x:v>Persuasion-driven adversarial debate and collective influence.</x:v>
      </x:c>
      <x:c r="M23" s="60" t="str">
        <x:v>Coordination/debate; inter-agent messages; aggregation.</x:v>
      </x:c>
      <x:c r="N23" s="60" t="str">
        <x:v>Collective decision integrity failure.</x:v>
      </x:c>
      <x:c r="O23" s="60" t="str">
        <x:v>System and individual accuracy drops; increased agreement with the adversary.</x:v>
      </x:c>
    </x:row>
    <x:row r="24">
      <x:c r="A24" s="60" t="n">
        <x:v>23</x:v>
      </x:c>
      <x:c r="B24" s="60" t="str">
        <x:v>khan2025agents_under_siege</x:v>
      </x:c>
      <x:c r="C24" s="60" t="str">
        <x:v>attack</x:v>
      </x:c>
      <x:c r="D24" s="60" t="str">
        <x:v>attack</x:v>
      </x:c>
      <x:c r="E24" s="60" t="str">
        <x:v>evaluation; defense evasion</x:v>
      </x:c>
      <x:c r="F24" s="60" t="str">
        <x:v>confirmed_attack_bearing</x:v>
      </x:c>
      <x:c r="G24" s="60" t="str">
        <x:v>introduces_attack; evaluates_defense</x:v>
      </x:c>
      <x:c r="H24" s="60" t="str">
        <x:v>yes</x:v>
      </x:c>
      <x:c r="I24" s="60" t="str">
        <x:v>Internal/source-side attacker with ability to inject through an initial agent and partial topology/defense knowledge.</x:v>
      </x:c>
      <x:c r="J24" s="60" t="str">
        <x:v>Partitions and routes adversarial prompt chunks, knows target architecture and partial network/safety placement, optimizes prompt tokens.</x:v>
      </x:c>
      <x:c r="K24" s="60" t="str">
        <x:v>Graph-modeled LLM network, chunk accumulation at target memory, edge token budgets and variable arrival order, target model known.</x:v>
      </x:c>
      <x:c r="L24" s="60" t="str">
        <x:v>Minimum-cost maximum-flow route selection plus permutation-invariant adversarial prompt optimization.</x:v>
      </x:c>
      <x:c r="M24" s="60" t="str">
        <x:v>Communication topology; message chunks; edge safety filters; target memory/context.</x:v>
      </x:c>
      <x:c r="N24" s="60" t="str">
        <x:v>Target-agent safety/instruction integrity failure; graph-mediated jailbreak. Population compromise is not directly measured.</x:v>
      </x:c>
      <x:c r="O24" s="60" t="str">
        <x:v>Harmful target output and defense-evasion; topology affects ASR.</x:v>
      </x:c>
    </x:row>
    <x:row r="25">
      <x:c r="A25" s="60" t="n">
        <x:v>24</x:v>
      </x:c>
      <x:c r="B25" s="60" t="str">
        <x:v>peigne2025security_tax</x:v>
      </x:c>
      <x:c r="C25" s="60" t="str">
        <x:v>attack</x:v>
      </x:c>
      <x:c r="D25" s="60" t="str">
        <x:v>attack</x:v>
      </x:c>
      <x:c r="E25" s="60" t="str">
        <x:v>defense; evaluation</x:v>
      </x:c>
      <x:c r="F25" s="60" t="str">
        <x:v>confirmed_attack_bearing</x:v>
      </x:c>
      <x:c r="G25" s="60" t="str">
        <x:v>introduces_attack; evaluates_defense</x:v>
      </x:c>
      <x:c r="H25" s="60" t="str">
        <x:v>yes</x:v>
      </x:c>
      <x:c r="I25" s="60" t="str">
        <x:v>External/malicious user injecting a direct malicious instruction into one randomly selected member.</x:v>
      </x:c>
      <x:c r="J25" s="60" t="str">
        <x:v>Selects one of five eligible target agents and injects one of 12 jailbreak prompts; no model parameter control.</x:v>
      </x:c>
      <x:c r="K25" s="60" t="str">
        <x:v>Seven-agent asynchronous research facility, inter-agent messaging, role-specific prompts, code-execution tool, one compromised member.</x:v>
      </x:c>
      <x:c r="L25" s="60" t="str">
        <x:v>Infectious malicious prompt and multi-hop instruction propagation.</x:v>
      </x:c>
      <x:c r="M25" s="60" t="str">
        <x:v>Member input; inter-agent messaging; memory; tool execution.</x:v>
      </x:c>
      <x:c r="N25" s="60" t="str">
        <x:v>Compromise containment and action-integrity failure.</x:v>
      </x:c>
      <x:c r="O25" s="60" t="str">
        <x:v>Propagation can culminate in a code call instructing a hazardous lab action; defenses trade security for cooperation.</x:v>
      </x:c>
    </x:row>
    <x:row r="26">
      <x:c r="A26" s="60" t="n">
        <x:v>25</x:v>
      </x:c>
      <x:c r="B26" s="60" t="str">
        <x:v>zhang2025allies_foes</x:v>
      </x:c>
      <x:c r="C26" s="60" t="str">
        <x:v>attack</x:v>
      </x:c>
      <x:c r="D26" s="60" t="str">
        <x:v>attack</x:v>
      </x:c>
      <x:c r="E26" s="60" t="str">
        <x:v>defense evaluation; empirical evaluation; metric proposal</x:v>
      </x:c>
      <x:c r="F26" s="60" t="str">
        <x:v>confirmed_attack_bearing</x:v>
      </x:c>
      <x:c r="G26" s="60" t="str">
        <x:v>introduces_attack; evaluates_defense</x:v>
      </x:c>
      <x:c r="H26" s="60" t="str">
        <x:v>yes</x:v>
      </x:c>
      <x:c r="I26" s="60" t="str">
        <x:v>One or two malicious member agents inside the collaboration group.</x:v>
      </x:c>
      <x:c r="J26" s="60" t="str">
        <x:v>Generate a counterfactual answer, observe shared responses, retain interaction history, and adapt misleading responses across rounds.</x:v>
      </x:c>
      <x:c r="K26" s="60" t="str">
        <x:v>Fixed-answer tasks; symmetric sharing of agent responses; at most five honest collaborators; synthetically generated counterfactual answer.</x:v>
      </x:c>
      <x:c r="L26" s="60" t="str">
        <x:v>Adaptive counterfactual-answer persuasion through repeated group communication.</x:v>
      </x:c>
      <x:c r="M26" s="60" t="str">
        <x:v>Inter-agent deliberation; communication schedule; consensus formation.</x:v>
      </x:c>
      <x:c r="N26" s="60" t="str">
        <x:v>Collective decision-integrity failure.</x:v>
      </x:c>
      <x:c r="O26" s="60" t="str">
        <x:v>Honest agents adopt the adversarial answer earlier or more often, reducing group robustness.</x:v>
      </x:c>
    </x:row>
    <x:row r="27">
      <x:c r="A27" s="60" t="n">
        <x:v>26</x:v>
      </x:c>
      <x:c r="B27" s="60" t="str">
        <x:v>zhu2025master</x:v>
      </x:c>
      <x:c r="C27" s="60" t="str">
        <x:v>attack</x:v>
      </x:c>
      <x:c r="D27" s="60" t="str">
        <x:v>evaluation</x:v>
      </x:c>
      <x:c r="E27" s="60" t="str">
        <x:v>attack; defense; benchmark/framework</x:v>
      </x:c>
      <x:c r="F27" s="60" t="str">
        <x:v>confirmed_attack_bearing</x:v>
      </x:c>
      <x:c r="G27" s="60" t="str">
        <x:v>introduces_attack; evaluates_defense</x:v>
      </x:c>
      <x:c r="H27" s="60" t="str">
        <x:v>yes</x:v>
      </x:c>
      <x:c r="I27" s="60" t="str">
        <x:v>External user with conversational access to selected entry agents.</x:v>
      </x:c>
      <x:c r="J27" s="60" t="str">
        <x:v>Probe roles and neighbors, infer structure, inject adversarial traits into selected roles, retain them, and later activate coordinated harmful behavior.</x:v>
      </x:c>
      <x:c r="K27" s="60" t="str">
        <x:v>The system exposes conversational responses sufficient for role/topology probing and accepts multi-round prompt interactions.</x:v>
      </x:c>
      <x:c r="L27" s="60" t="str">
        <x:v>Three-stage structure reconnaissance, scenario-adaptive role-trait injection, and activation using inferred role/topology context.</x:v>
      </x:c>
      <x:c r="M27" s="60" t="str">
        <x:v>Role/system prompts; messages; memory; topology; collective task execution.</x:v>
      </x:c>
      <x:c r="N27" s="60" t="str">
        <x:v>Collective action and objective-integrity failure.</x:v>
      </x:c>
      <x:c r="O27" s="60" t="str">
        <x:v>Specialized agents maintain adversarial roles and cooperate on harmful scenario-specific tasks.</x:v>
      </x:c>
    </x:row>
    <x:row r="28">
      <x:c r="A28" s="60" t="n">
        <x:v>27</x:v>
      </x:c>
      <x:c r="B28" s="60" t="str">
        <x:v>zhang2025breaking_agents</x:v>
      </x:c>
      <x:c r="C28" s="60" t="str">
        <x:v>attack</x:v>
      </x:c>
      <x:c r="D28" s="60" t="str">
        <x:v>attack</x:v>
      </x:c>
      <x:c r="E28" s="60" t="str">
        <x:v>defense; evaluation</x:v>
      </x:c>
      <x:c r="F28" s="60" t="str">
        <x:v>confirmed_attack_bearing</x:v>
      </x:c>
      <x:c r="G28" s="60" t="str">
        <x:v>introduces_attack; includes_MAS_extension</x:v>
      </x:c>
      <x:c r="H28" s="60" t="str">
        <x:v>yes_claim_level_only</x:v>
      </x:c>
      <x:c r="I28" s="60" t="str">
        <x:v>Malicious user or compromised upstream agent; for advanced MAS cases the adversary directly controls one agent.</x:v>
      </x:c>
      <x:c r="J28" s="60" t="str">
        <x:v>Inject instructions into user input or external content; in MAS cases embed commands into an upstream agent’s output to induce downstream loops or wrong functions.</x:v>
      </x:c>
      <x:c r="K28" s="60" t="str">
        <x:v>Tool-capable agents; downstream agents consume peer-produced content; experiments implement only two agent types.</x:v>
      </x:c>
      <x:c r="L28" s="60" t="str">
        <x:v>Prompt-induced infinite loops or incorrect benign function execution, extended into viral cross-agent malfunction.</x:v>
      </x:c>
      <x:c r="M28" s="60" t="str">
        <x:v>User input; external tool/file content; memory; inter-agent message/control flow.</x:v>
      </x:c>
      <x:c r="N28" s="60" t="str">
        <x:v>Availability/resource boundedness and task/action integrity failure.</x:v>
      </x:c>
      <x:c r="O28" s="60" t="str">
        <x:v>Agent non-completion, repetitive actions, incorrect benign functions, bandwidth/resource occupation, and downstream spamming behavior.</x:v>
      </x:c>
    </x:row>
    <x:row r="29">
      <x:c r="A29" s="60" t="n">
        <x:v>28</x:v>
      </x:c>
      <x:c r="B29" s="60" t="str">
        <x:v>yan2026evo_attacker</x:v>
      </x:c>
      <x:c r="C29" s="60" t="str">
        <x:v>attack</x:v>
      </x:c>
      <x:c r="D29" s="60" t="str">
        <x:v>attack</x:v>
      </x:c>
      <x:c r="E29" s="60" t="str">
        <x:v>evaluation; attack-policy training</x:v>
      </x:c>
      <x:c r="F29" s="60" t="str">
        <x:v>confirmed_attack_bearing</x:v>
      </x:c>
      <x:c r="G29" s="60" t="str">
        <x:v>introduces_attack</x:v>
      </x:c>
      <x:c r="H29" s="60" t="str">
        <x:v>yes</x:v>
      </x:c>
      <x:c r="I29" s="60" t="str">
        <x:v>Gray-box malicious tool/API channel associated with one target agent.</x:v>
      </x:c>
      <x:c r="J29" s="60" t="str">
        <x:v>Monitor that agent’s tool calls and raw returns, replace at most B returns, retain local tool-interaction history; cannot see inter-agent messages or model internals.</x:v>
      </x:c>
      <x:c r="K29" s="60" t="str">
        <x:v>At least one target agent uses a compromisable tool channel; downstream task outcome depends on its tool results; intervention budget B=3 in main experiments.</x:v>
      </x:c>
      <x:c r="L29" s="60" t="str">
        <x:v>Memory-augmented, deliberative multi-round tool-return manipulation optimized by Attack-Flow GRPO.</x:v>
      </x:c>
      <x:c r="M29" s="60" t="str">
        <x:v>Tool/API return channel; target-agent local context; downstream communication and global task trace.</x:v>
      </x:c>
      <x:c r="N29" s="60" t="str">
        <x:v>Collective task/action-integrity failure.</x:v>
      </x:c>
      <x:c r="O29" s="60" t="str">
        <x:v>Performance degradation across code, deep-research, and web tasks, sometimes propagating to terminal system failure.</x:v>
      </x:c>
    </x:row>
    <x:row r="30">
      <x:c r="A30" s="60" t="n">
        <x:v>29</x:v>
      </x:c>
      <x:c r="B30" s="60" t="str">
        <x:v>yan2026mast</x:v>
      </x:c>
      <x:c r="C30" s="60" t="str">
        <x:v>attack</x:v>
      </x:c>
      <x:c r="D30" s="60" t="str">
        <x:v>attack</x:v>
      </x:c>
      <x:c r="E30" s="60" t="str">
        <x:v>evaluation</x:v>
      </x:c>
      <x:c r="F30" s="60" t="str">
        <x:v>confirmed_attack_bearing</x:v>
      </x:c>
      <x:c r="G30" s="60" t="str">
        <x:v>introduces_attack</x:v>
      </x:c>
      <x:c r="H30" s="60" t="str">
        <x:v>yes</x:v>
      </x:c>
      <x:c r="I30" s="60" t="str">
        <x:v>On-path communication adversary controlling a subset of links.</x:v>
      </x:c>
      <x:c r="J30" s="60" t="str">
        <x:v>Observe, select, and replace messages across rounds; knows graph and role/task context; cannot directly alter agent state.</x:v>
      </x:c>
      <x:c r="K30" s="60" t="str">
        <x:v>Unauthenticated or modifiable communication links and continuous access to selected channels.</x:v>
      </x:c>
      <x:c r="L30" s="60" t="str">
        <x:v>MCTS/DPO-trained adaptive multi-round tampering with semantic and embedding similarity constraints.</x:v>
      </x:c>
      <x:c r="M30" s="60" t="str">
        <x:v>Inter-agent messages; communication graph.</x:v>
      </x:c>
      <x:c r="N30" s="60" t="str">
        <x:v>Communication integrity and collective task-integrity failure.</x:v>
      </x:c>
      <x:c r="O30" s="60" t="str">
        <x:v>Steered final joint output toward attacker goals while evading a semantic detector.</x:v>
      </x:c>
    </x:row>
    <x:row r="31">
      <x:c r="A31" s="60" t="n">
        <x:v>30</x:v>
      </x:c>
      <x:c r="B31" s="60" t="str">
        <x:v>wang2026shadows_code</x:v>
      </x:c>
      <x:c r="C31" s="60" t="str">
        <x:v>attack</x:v>
      </x:c>
      <x:c r="D31" s="60" t="str">
        <x:v>evaluation</x:v>
      </x:c>
      <x:c r="E31" s="60" t="str">
        <x:v>attack; defense; benchmark</x:v>
      </x:c>
      <x:c r="F31" s="60" t="str">
        <x:v>confirmed_attack_bearing</x:v>
      </x:c>
      <x:c r="G31" s="60" t="str">
        <x:v>introduces_attack; evaluates_defense</x:v>
      </x:c>
      <x:c r="H31" s="60" t="str">
        <x:v>yes</x:v>
      </x:c>
      <x:c r="I31" s="60" t="str">
        <x:v>Malicious user or compromised member/role agent.</x:v>
      </x:c>
      <x:c r="J31" s="60" t="str">
        <x:v>Mix malicious functionality into benign requirements or modify selected design, coding, or testing role profiles.</x:v>
      </x:c>
      <x:c r="K31" s="60" t="str">
        <x:v>Role-separated software MAS; cross-stage artifacts are trusted by downstream agents; generated programs are run in a sandbox.</x:v>
      </x:c>
      <x:c r="L31" s="60" t="str">
        <x:v>Implicit malicious behavior injection through requirements or compromised role profiles, propagated across development stages.</x:v>
      </x:c>
      <x:c r="M31" s="60" t="str">
        <x:v>User requirements; role prompts; shared code/design/test artifacts.</x:v>
      </x:c>
      <x:c r="N31" s="60" t="str">
        <x:v>Compositional software action and artifact-integrity failure.</x:v>
      </x:c>
      <x:c r="O31" s="60" t="str">
        <x:v>Executable software retains benign utility while implementing malicious operations.</x:v>
      </x:c>
    </x:row>
    <x:row r="32">
      <x:c r="A32" s="60" t="n">
        <x:v>31</x:v>
      </x:c>
      <x:c r="B32" s="60" t="str">
        <x:v>wu2026cia</x:v>
      </x:c>
      <x:c r="C32" s="60" t="str">
        <x:v>attack</x:v>
      </x:c>
      <x:c r="D32" s="60" t="str">
        <x:v>attack</x:v>
      </x:c>
      <x:c r="E32" s="60" t="str">
        <x:v>evaluation; reconnaissance</x:v>
      </x:c>
      <x:c r="F32" s="60" t="str">
        <x:v>confirmed_attack_bearing</x:v>
      </x:c>
      <x:c r="G32" s="60" t="str">
        <x:v>introduces_attack</x:v>
      </x:c>
      <x:c r="H32" s="60" t="str">
        <x:v>yes</x:v>
      </x:c>
      <x:c r="I32" s="60" t="str">
        <x:v>External black-box querier.</x:v>
      </x:c>
      <x:c r="J32" s="60" t="str">
        <x:v>Submit crafted queries and observe exposed outputs; no access to graph, prompts, internal messages, roles, or weights.</x:v>
      </x:c>
      <x:c r="K32" s="60" t="str">
        <x:v>Information-flow dependencies create semantic correlations observable at the interface; tested systems use optimized hidden graphs.</x:v>
      </x:c>
      <x:c r="L32" s="60" t="str">
        <x:v>Adversarial query generation, global-bias disentanglement, LLM weak supervision, and edge classification.</x:v>
      </x:c>
      <x:c r="M32" s="60" t="str">
        <x:v>Public query/output interface; semantic traces of hidden communication.</x:v>
      </x:c>
      <x:c r="N32" s="60" t="str">
        <x:v>Structural confidentiality and architecture IP leakage.</x:v>
      </x:c>
      <x:c r="O32" s="60" t="str">
        <x:v>Reconstruction of hidden communication edges; no follow-on exploit is demonstrated.</x:v>
      </x:c>
    </x:row>
    <x:row r="33">
      <x:c r="A33" s="60" t="n">
        <x:v>32</x:v>
      </x:c>
      <x:c r="B33" s="60" t="str">
        <x:v>ko2026social_dynamics</x:v>
      </x:c>
      <x:c r="C33" s="60" t="str">
        <x:v>attack</x:v>
      </x:c>
      <x:c r="D33" s="60" t="str">
        <x:v>evaluation</x:v>
      </x:c>
      <x:c r="E33" s="60" t="str">
        <x:v>attack-bearing empirical study</x:v>
      </x:c>
      <x:c r="F33" s="60" t="str">
        <x:v>confirmed_attack_bearing</x:v>
      </x:c>
      <x:c r="G33" s="60" t="str">
        <x:v>evaluates_attack_factor</x:v>
      </x:c>
      <x:c r="H33" s="60" t="str">
        <x:v>yes</x:v>
      </x:c>
      <x:c r="I33" s="60" t="str">
        <x:v>One or more malicious peer agents.</x:v>
      </x:c>
      <x:c r="J33" s="60" t="str">
        <x:v>Provide incorrect recommendations and manipulate coalition size, apparent expertise, message length/order, dominance, and rhetoric.</x:v>
      </x:c>
      <x:c r="K33" s="60" t="str">
        <x:v>Representative-agent aggregation architecture; peers are presented as decision evidence; objective-answer tasks.</x:v>
      </x:c>
      <x:c r="L33" s="60" t="str">
        <x:v>Conformity pressure, expertise signaling, dominant-speaker effects, and rhetorical persuasion.</x:v>
      </x:c>
      <x:c r="M33" s="60" t="str">
        <x:v>Peer-message content; group composition; aggregation context.</x:v>
      </x:c>
      <x:c r="N33" s="60" t="str">
        <x:v>Collective decision-integrity failure.</x:v>
      </x:c>
      <x:c r="O33" s="60" t="str">
        <x:v>Representative accuracy and willingness to retain the correct answer decline under stronger social pressure.</x:v>
      </x:c>
    </x:row>
    <x:row r="34">
      <x:c r="A34" s="60" t="n">
        <x:v>33</x:v>
      </x:c>
      <x:c r="B34" s="60" t="str">
        <x:v>zhou2026hierarchical_attacks</x:v>
      </x:c>
      <x:c r="C34" s="60" t="str">
        <x:v>attack</x:v>
      </x:c>
      <x:c r="D34" s="60" t="str">
        <x:v>evaluation</x:v>
      </x:c>
      <x:c r="E34" s="60" t="str">
        <x:v>attack; benchmark</x:v>
      </x:c>
      <x:c r="F34" s="60" t="str">
        <x:v>confirmed_attack_bearing</x:v>
      </x:c>
      <x:c r="G34" s="60" t="str">
        <x:v>introduces_attack_suite</x:v>
      </x:c>
      <x:c r="H34" s="60" t="str">
        <x:v>yes_claim_level</x:v>
      </x:c>
      <x:c r="I34" s="60" t="str">
        <x:v>Variant-specific external or infrastructure adversary with access to one or more perception, communication, shared-state, tool, or reasoning surfaces.</x:v>
      </x:c>
      <x:c r="J34" s="60" t="str">
        <x:v>Perturb images/text, spoof agents/tools, block links, pollute shared memory/context, alter roles, or inject reasoning instructions.</x:v>
      </x:c>
      <x:c r="K34" s="60" t="str">
        <x:v>OxyGent hierarchical MM-MAS; attack privilege differs by variant and must not be collapsed into one attacker model.</x:v>
      </x:c>
      <x:c r="L34" s="60" t="str">
        <x:v>HAM3 layered attack suite across perception, communication, and reasoning.</x:v>
      </x:c>
      <x:c r="M34" s="60" t="str">
        <x:v>Multimodal input; identity; communication links; shared memory/context; tools; reasoning trace.</x:v>
      </x:c>
      <x:c r="N34" s="60" t="str">
        <x:v>Multiple claim-level failures: decision integrity, communication/topology integrity, shared-state integrity, and availability.</x:v>
      </x:c>
      <x:c r="O34" s="60" t="str">
        <x:v>Incorrect root decision and, in many successful attacks, multiple agents converge on consistent errors.</x:v>
      </x:c>
    </x:row>
    <x:row r="35">
      <x:c r="A35" s="60" t="n">
        <x:v>34</x:v>
      </x:c>
      <x:c r="B35" s="60" t="str">
        <x:v>kong2026web_fraud</x:v>
      </x:c>
      <x:c r="C35" s="60" t="str">
        <x:v>attack</x:v>
      </x:c>
      <x:c r="D35" s="60" t="str">
        <x:v>attack</x:v>
      </x:c>
      <x:c r="E35" s="60" t="str">
        <x:v>defense evaluation</x:v>
      </x:c>
      <x:c r="F35" s="60" t="str">
        <x:v>confirmed_attack_bearing</x:v>
      </x:c>
      <x:c r="G35" s="60" t="str">
        <x:v>introduces_attack; evaluates_defense</x:v>
      </x:c>
      <x:c r="H35" s="60" t="str">
        <x:v>yes</x:v>
      </x:c>
      <x:c r="I35" s="60" t="str">
        <x:v>One low-privilege malicious member agent.</x:v>
      </x:c>
      <x:c r="J35" s="60" t="str">
        <x:v>Submit and advocate an attacker-controlled URL; choose homoglyph, subdomain, path, parameter, IP, and other structural representations; no architecture/defense knowledge assumed.</x:v>
      </x:c>
      <x:c r="K35" s="60" t="str">
        <x:v>Attacker controls a domain and has an allowed recommendation channel; downstream agents/auditor use URL and context to decide.</x:v>
      </x:c>
      <x:c r="L35" s="60" t="str">
        <x:v>URL-structure deception propagated through recommendation, review, debate, or voting.</x:v>
      </x:c>
      <x:c r="M35" s="60" t="str">
        <x:v>Inter-agent recommendation messages; URL representation; web/tool boundary; collective aggregation.</x:v>
      </x:c>
      <x:c r="N35" s="60" t="str">
        <x:v>Collective recommendation and decision-integrity failure.</x:v>
      </x:c>
      <x:c r="O35" s="60" t="str">
        <x:v>Final auditor accepts/recommends a malicious destination; phishing/malware/prompt-injection consequences are potential, not directly executed.</x:v>
      </x:c>
    </x:row>
    <x:row r="36">
      <x:c r="A36" s="60" t="n">
        <x:v>35</x:v>
      </x:c>
      <x:c r="B36" s="60" t="str">
        <x:v>huang2025faulty_agents</x:v>
      </x:c>
      <x:c r="C36" s="60" t="str">
        <x:v>attack</x:v>
      </x:c>
      <x:c r="D36" s="60" t="str">
        <x:v>evaluation</x:v>
      </x:c>
      <x:c r="E36" s="60" t="str">
        <x:v>defense; fault injection; attack-bearing</x:v>
      </x:c>
      <x:c r="F36" s="60" t="str">
        <x:v>confirmed_attack_bearing</x:v>
      </x:c>
      <x:c r="G36" s="60" t="str">
        <x:v>evaluates_fault_or_attack</x:v>
      </x:c>
      <x:c r="H36" s="60" t="str">
        <x:v>yes_with_fault_label</x:v>
      </x:c>
      <x:c r="I36" s="60" t="str">
        <x:v>Faulty or malicious member agent; fault injector controls role prompt or outgoing message.</x:v>
      </x:c>
      <x:c r="J36" s="60" t="str">
        <x:v>AutoTransform alters role behavior; AutoInject inserts syntactic, semantic, or task-specific errors into selected agent outputs.</x:v>
      </x:c>
      <x:c r="K36" s="60" t="str">
        <x:v>Fixed collaboration templates and task scoring; errors are synthetically generated.</x:v>
      </x:c>
      <x:c r="L36" s="60" t="str">
        <x:v>Role transformation or message-level fault injection followed by downstream propagation.</x:v>
      </x:c>
      <x:c r="M36" s="60" t="str">
        <x:v>Role prompt; inter-agent messages; collaboration topology.</x:v>
      </x:c>
      <x:c r="N36" s="60" t="str">
        <x:v>Collective output-integrity and reliability failure.</x:v>
      </x:c>
      <x:c r="O36" s="60" t="str">
        <x:v>Task performance drops; Challenger/Inspector recover a portion of injected errors.</x:v>
      </x:c>
    </x:row>
    <x:row r="37">
      <x:c r="A37" s="60" t="n">
        <x:v>36</x:v>
      </x:c>
      <x:c r="B37" s="60" t="str">
        <x:v>hagag2026architecture_matters</x:v>
      </x:c>
      <x:c r="C37" s="60" t="str">
        <x:v>attack</x:v>
      </x:c>
      <x:c r="D37" s="60" t="str">
        <x:v>evaluation</x:v>
      </x:c>
      <x:c r="E37" s="60" t="str">
        <x:v>benchmark adaptation; attack evaluation</x:v>
      </x:c>
      <x:c r="F37" s="60" t="str">
        <x:v>confirmed_attack_bearing</x:v>
      </x:c>
      <x:c r="G37" s="60" t="str">
        <x:v>evaluates_architecture_under_attack</x:v>
      </x:c>
      <x:c r="H37" s="60" t="str">
        <x:v>yes</x:v>
      </x:c>
      <x:c r="I37" s="60" t="str">
        <x:v>Malicious user issuing direct harmful tasks; no compromised member.</x:v>
      </x:c>
      <x:c r="J37" s="60" t="str">
        <x:v>Submit harmful task only; cannot inject memory/messages or control agents.</x:v>
      </x:c>
      <x:c r="K37" s="60" t="str">
        <x:v>Architecture fragments task intent, authority, or context; matched benchmark/model comparisons within each design axis.</x:v>
      </x:c>
      <x:c r="L37" s="60" t="str">
        <x:v>Compositional context fragmentation and distributed tool authority, not a newly crafted attack payload.</x:v>
      </x:c>
      <x:c r="M37" s="60" t="str">
        <x:v>Role decomposition; routing/topology; memory visibility; tool authority.</x:v>
      </x:c>
      <x:c r="N37" s="60" t="str">
        <x:v>Compositional harmful-action and authorization-integrity failure.</x:v>
      </x:c>
      <x:c r="O37" s="60" t="str">
        <x:v>Partial or completed harmful task execution that a standalone agent may refuse.</x:v>
      </x:c>
    </x:row>
    <x:row r="38">
      <x:c r="A38" s="60" t="n">
        <x:v>37</x:v>
      </x:c>
      <x:c r="B38" s="60" t="str">
        <x:v>ren2026financial_fraud</x:v>
      </x:c>
      <x:c r="C38" s="60" t="str">
        <x:v>attack</x:v>
      </x:c>
      <x:c r="D38" s="60" t="str">
        <x:v>evaluation</x:v>
      </x:c>
      <x:c r="E38" s="60" t="str">
        <x:v>attack; defense; benchmark</x:v>
      </x:c>
      <x:c r="F38" s="60" t="str">
        <x:v>confirmed_attack_bearing</x:v>
      </x:c>
      <x:c r="G38" s="60" t="str">
        <x:v>evaluates_collusive_attack</x:v>
      </x:c>
      <x:c r="H38" s="60" t="str">
        <x:v>yes</x:v>
      </x:c>
      <x:c r="I38" s="60" t="str">
        <x:v>Coalition of malicious member agents in a simulated social platform.</x:v>
      </x:c>
      <x:c r="J38" s="60" t="str">
        <x:v>Post, comment, privately message, coordinate, cultivate victims, and adapt to warnings/monitoring.</x:v>
      </x:c>
      <x:c r="K38" s="60" t="str">
        <x:v>Simulator permits public/private communication and simulated transfers; malicious agents receive explicit fraud goals.</x:v>
      </x:c>
      <x:c r="L38" s="60" t="str">
        <x:v>Coordinated social persuasion and coalition reinforcement across the fraud lifecycle.</x:v>
      </x:c>
      <x:c r="M38" s="60" t="str">
        <x:v>Public posts/comments; private messages; membership; transfer decisions.</x:v>
      </x:c>
      <x:c r="N38" s="60" t="str">
        <x:v>Collective manipulation and decision-integrity failure with simulated financial impact.</x:v>
      </x:c>
      <x:c r="O38" s="60" t="str">
        <x:v>Victim engagement, migration to private conversation, and simulated transfers.</x:v>
      </x:c>
    </x:row>
    <x:row r="39">
      <x:c r="A39" s="60" t="n">
        <x:v>38</x:v>
      </x:c>
      <x:c r="B39" s="60" t="str">
        <x:v>bowers2025code_injection</x:v>
      </x:c>
      <x:c r="C39" s="60" t="str">
        <x:v>attack</x:v>
      </x:c>
      <x:c r="D39" s="60" t="str">
        <x:v>evaluation</x:v>
      </x:c>
      <x:c r="E39" s="60" t="str">
        <x:v>attack; defense</x:v>
      </x:c>
      <x:c r="F39" s="60" t="str">
        <x:v>confirmed_attack_bearing</x:v>
      </x:c>
      <x:c r="G39" s="60" t="str">
        <x:v>evaluates_attack; evaluates_defense</x:v>
      </x:c>
      <x:c r="H39" s="60" t="str">
        <x:v>yes</x:v>
      </x:c>
      <x:c r="I39" s="60" t="str">
        <x:v>Insider or party with one-time/continuous write access to shared generated code.</x:v>
      </x:c>
      <x:c r="J39" s="60" t="str">
        <x:v>Insert exfiltration function, obfuscate it, and add misleading comments or poisoned few-shot examples.</x:v>
      </x:c>
      <x:c r="K39" s="60" t="str">
        <x:v>Writable shared code store; downstream agents trust and inspect the artifact; success means malicious function remains in final code.</x:v>
      </x:c>
      <x:c r="L39" s="60" t="str">
        <x:v>Shared-artifact code injection and natural-language reviewer poisoning.</x:v>
      </x:c>
      <x:c r="M39" s="60" t="str">
        <x:v>Shared code artifact; review comments; cross-stage software workflow.</x:v>
      </x:c>
      <x:c r="N39" s="60" t="str">
        <x:v>Software artifact integrity failure; potential confidentiality impact.</x:v>
      </x:c>
      <x:c r="O39" s="60" t="str">
        <x:v>Final output retains an exfiltration function; actual data exfiltration is potential rather than executed against a real system.</x:v>
      </x:c>
    </x:row>
    <x:row r="40">
      <x:c r="A40" s="60" t="n">
        <x:v>39</x:v>
      </x:c>
      <x:c r="B40" s="60" t="str">
        <x:v>jha2026control_flow_hijacking</x:v>
      </x:c>
      <x:c r="C40" s="60" t="str">
        <x:v>attack</x:v>
      </x:c>
      <x:c r="D40" s="60" t="str">
        <x:v>defense</x:v>
      </x:c>
      <x:c r="E40" s="60" t="str">
        <x:v>attack; benchmark; evaluation</x:v>
      </x:c>
      <x:c r="F40" s="60" t="str">
        <x:v>confirmed_attack_bearing</x:v>
      </x:c>
      <x:c r="G40" s="60" t="str">
        <x:v>extends_attack; proposes_defense</x:v>
      </x:c>
      <x:c r="H40" s="60" t="str">
        <x:v>yes</x:v>
      </x:c>
      <x:c r="I40" s="60" t="str">
        <x:v>External content adversary controlling one item ingested by a benign member.</x:v>
      </x:c>
      <x:c r="J40" s="60" t="str">
        <x:v>Embed instructions in content; induce fake error and repair plan; no control of user prompt, agents, or internals.</x:v>
      </x:c>
      <x:c r="K40" s="60" t="str">
        <x:v>Adaptive orchestrator trusts member summaries and routes all agent calls through an enforceable orchestration point.</x:v>
      </x:c>
      <x:c r="L40" s="60" t="str">
        <x:v>Alignment-check-evasive control-flow hijacking via trusted-agent laundering and attacker-chosen recovery sequence.</x:v>
      </x:c>
      <x:c r="M40" s="60" t="str">
        <x:v>Untrusted content; member status reports; replanning; orchestrator transition; delegated tools.</x:v>
      </x:c>
      <x:c r="N40" s="60" t="str">
        <x:v>Delegation/control-flow and authorization integrity failure; confidentiality impact in exfiltration cases.</x:v>
      </x:c>
      <x:c r="O40" s="60" t="str">
        <x:v>Unsafe agent invocation, code execution, unauthorized data sending, and contextual privilege misuse.</x:v>
      </x:c>
    </x:row>
    <x:row r="41">
      <x:c r="A41" s="60" t="n">
        <x:v>40</x:v>
      </x:c>
      <x:c r="B41" s="60" t="str">
        <x:v>zhang2026embedding_defenses</x:v>
      </x:c>
      <x:c r="C41" s="60" t="str">
        <x:v>attack</x:v>
      </x:c>
      <x:c r="D41" s="60" t="str">
        <x:v>defense</x:v>
      </x:c>
      <x:c r="E41" s="60" t="str">
        <x:v>attack; evaluation; theoretical analysis</x:v>
      </x:c>
      <x:c r="F41" s="60" t="str">
        <x:v>confirmed_attack_bearing</x:v>
      </x:c>
      <x:c r="G41" s="60" t="str">
        <x:v>introduces_adaptive_attacks; proposes_defense</x:v>
      </x:c>
      <x:c r="H41" s="60" t="str">
        <x:v>yes</x:v>
      </x:c>
      <x:c r="I41" s="60" t="str">
        <x:v>One compromised member agent.</x:v>
      </x:c>
      <x:c r="J41" s="60" t="str">
        <x:v>Generate protocol-valid misinformation and adapt wording to mimic benign embeddings or disperse benign messages; cannot alter defense code.</x:v>
      </x:c>
      <x:c r="K41" s="60" t="str">
        <x:v>Embedding-based pruning/weighting; generation-time token confidence available for proposed defense.</x:v>
      </x:c>
      <x:c r="L41" s="60" t="str">
        <x:v>Slow Drift, Benign Wrapper, and Chaos Seeding evade text-embedding separation assumptions.</x:v>
      </x:c>
      <x:c r="M41" s="60" t="str">
        <x:v>Inter-agent messages; graph anomaly detector; aggregation.</x:v>
      </x:c>
      <x:c r="N41" s="60" t="str">
        <x:v>Collective decision integrity and malicious-member attribution failure.</x:v>
      </x:c>
      <x:c r="O41" s="60" t="str">
        <x:v>Embedding defenses retain malicious messages and group accuracy degrades; confidence filtering improves reported robustness.</x:v>
      </x:c>
    </x:row>
    <x:row r="42">
      <x:c r="A42" s="60" t="n">
        <x:v>41</x:v>
      </x:c>
      <x:c r="B42" s="60" t="str">
        <x:v>kraidia2026collaboration_fails</x:v>
      </x:c>
      <x:c r="C42" s="60" t="str">
        <x:v>attack</x:v>
      </x:c>
      <x:c r="D42" s="60" t="str">
        <x:v>attack</x:v>
      </x:c>
      <x:c r="E42" s="60" t="str">
        <x:v>defense evaluation; empirical evaluation</x:v>
      </x:c>
      <x:c r="F42" s="60" t="str">
        <x:v>confirmed_attack_bearing</x:v>
      </x:c>
      <x:c r="G42" s="60" t="str">
        <x:v>introduces_attack; evaluates_prompt_mitigation</x:v>
      </x:c>
      <x:c r="H42" s="60" t="str">
        <x:v>yes</x:v>
      </x:c>
      <x:c r="I42" s="60" t="str">
        <x:v>Malicious member inside an otherwise cooperative debate group.</x:v>
      </x:c>
      <x:c r="J42" s="60" t="str">
        <x:v>Read full debate history; promote a designated target; generate multi-layer arguments, rebuttals, fused narratives, Best-of-N candidates, and RAG-supported rhetoric.</x:v>
      </x:c>
      <x:c r="K42" s="60" t="str">
        <x:v>All participants consume a shared transcript; a final decision is produced by debate/majority; the controlled evaluation assigns a wrong target for reproducible measurement.</x:v>
      </x:c>
      <x:c r="L42" s="60" t="str">
        <x:v>Inference-time adaptive persuasion and contextual accumulation, optionally strengthened by RAG and Best-of-N selection.</x:v>
      </x:c>
      <x:c r="M42" s="60" t="str">
        <x:v>Peer messages; shared debate transcript; majority-vote aggregation.</x:v>
      </x:c>
      <x:c r="N42" s="60" t="str">
        <x:v>Collective decision-integrity failure.</x:v>
      </x:c>
      <x:c r="O42" s="60" t="str">
        <x:v>Reduced group answer accuracy and increased agreement with the attacker-selected wrong answer; no real-world downstream action is executed.</x:v>
      </x:c>
    </x:row>
    <x:row r="43">
      <x:c r="A43" s="60" t="n">
        <x:v>42</x:v>
      </x:c>
      <x:c r="B43" s="60" t="str">
        <x:v>xu2026trust_paradox</x:v>
      </x:c>
      <x:c r="C43" s="60" t="str">
        <x:v>attack</x:v>
      </x:c>
      <x:c r="D43" s="60" t="str">
        <x:v>evaluation</x:v>
      </x:c>
      <x:c r="E43" s="60" t="str">
        <x:v>benchmark; defense evaluation; attack-bearing scenarios</x:v>
      </x:c>
      <x:c r="F43" s="60" t="str">
        <x:v>confirmed_attack_bearing</x:v>
      </x:c>
      <x:c r="G43" s="60" t="str">
        <x:v>evaluates_attack_scenarios; proposes_metrics; evaluates_defenses</x:v>
      </x:c>
      <x:c r="H43" s="60" t="str">
        <x:v>yes, claim-level only</x:v>
      </x:c>
      <x:c r="I43" s="60" t="str">
        <x:v>Peer/requester agent operating through normal inter-agent channels; scenarios include ordinary, emergent, and overtly malicious requests.</x:v>
      </x:c>
      <x:c r="J43" s="60" t="str">
        <x:v>Issue contextually plausible requests and exploit elevated trust; no weight, orchestration, or infrastructure compromise.</x:v>
      </x:c>
      <x:c r="K43" s="60" t="str">
        <x:v>Parameterized trust changes disclosure behavior; Minimum Necessary Information labels are treated as the authorization reference.</x:v>
      </x:c>
      <x:c r="L43" s="60" t="str">
        <x:v>Trust-conditioned over-exposure: increased trust weakens cross-role information gates and permits requests beyond the MNI baseline.</x:v>
      </x:c>
      <x:c r="M43" s="60" t="str">
        <x:v>Inter-agent requests; trust policy; cross-role information boundary; optional guardian.</x:v>
      </x:c>
      <x:c r="N43" s="60" t="str">
        <x:v>Cross-principal confidentiality and authorization-boundary failure.</x:v>
      </x:c>
      <x:c r="O43" s="60" t="str">
        <x:v>Disclosure beyond the MNI reference and trust-sensitive authorization drift in synthetic scenario chains.</x:v>
      </x:c>
    </x:row>
    <x:row r="44">
      <x:c r="A44" s="60" t="n">
        <x:v>43</x:v>
      </x:c>
      <x:c r="B44" s="60" t="str">
        <x:v>lee2026prompt_infection</x:v>
      </x:c>
      <x:c r="C44" s="60" t="str">
        <x:v>attack</x:v>
      </x:c>
      <x:c r="D44" s="60" t="str">
        <x:v>attack</x:v>
      </x:c>
      <x:c r="E44" s="60" t="str">
        <x:v>benchmark/evaluation; defense evaluation</x:v>
      </x:c>
      <x:c r="F44" s="60" t="str">
        <x:v>confirmed_attack_bearing</x:v>
      </x:c>
      <x:c r="G44" s="60" t="str">
        <x:v>introduces_attack; evaluates_defenses</x:v>
      </x:c>
      <x:c r="H44" s="60" t="str">
        <x:v>yes</x:v>
      </x:c>
      <x:c r="I44" s="60" t="str">
        <x:v>External content adversary placing one payload in an email, PDF, or webpage.</x:v>
      </x:c>
      <x:c r="J44" s="60" t="str">
        <x:v>Indirectly hijack first reader; embed role-specific malicious subtasks/data; instruct each recipient to reproduce payload downstream.</x:v>
      </x:c>
      <x:c r="K44" s="60" t="str">
        <x:v>Agents follow untrusted instructions and propagate text through global or predecessor-local histories; downstream role/tool capabilities are available.</x:v>
      </x:c>
      <x:c r="L44" s="60" t="str">
        <x:v>Self-replicating LLM-to-LLM prompt injection with role-conditioned payload and data carriage.</x:v>
      </x:c>
      <x:c r="M44" s="60" t="str">
        <x:v>External content; inter-agent messages; message history; retrieval/memory; role/tool boundaries.</x:v>
      </x:c>
      <x:c r="N44" s="60" t="str">
        <x:v>Compromise propagation and containment failure.</x:v>
      </x:c>
      <x:c r="O44" s="60" t="str">
        <x:v>Population infection plus scenario-specific confidentiality, content-integrity, scam, malware, and action impacts.</x:v>
      </x:c>
    </x:row>
    <x:row r="45">
      <x:c r="A45" s="60" t="n">
        <x:v>44</x:v>
      </x:c>
      <x:c r="B45" s="60" t="str">
        <x:v>yang2026among_us</x:v>
      </x:c>
      <x:c r="C45" s="60" t="str">
        <x:v>attack</x:v>
      </x:c>
      <x:c r="D45" s="60" t="str">
        <x:v>evaluation</x:v>
      </x:c>
      <x:c r="E45" s="60" t="str">
        <x:v>attack construction; defense evaluation; benchmark</x:v>
      </x:c>
      <x:c r="F45" s="60" t="str">
        <x:v>confirmed_attack_bearing</x:v>
      </x:c>
      <x:c r="G45" s="60" t="str">
        <x:v>constructs_malicious_contributors; evaluates_defense</x:v>
      </x:c>
      <x:c r="H45" s="60" t="str">
        <x:v>yes, split by collaboration level</x:v>
      </x:c>
      <x:c r="I45" s="60" t="str">
        <x:v>Supply-chain/member adversary contributing one or more malicious language models to a collaboration pool.</x:v>
      </x:c>
      <x:c r="J45" s="60" t="str">
        <x:v>Engineer malicious contributors via prompting, activation steering, supervised fine-tuning, or inverted-reward RL; participate in routing/text/logit/weight collaboration.</x:v>
      </x:c>
      <x:c r="K45" s="60" t="str">
        <x:v>System admits third-party contributor models and lacks perfect pre-admission detection; trusted external supervisor may be added for mitigation.</x:v>
      </x:c>
      <x:c r="L45" s="60" t="str">
        <x:v>Malicious contributor insertion into one of four collaboration levels.</x:v>
      </x:c>
      <x:c r="M45" s="60" t="str">
        <x:v>Contributor admission; API routing; text exchange; logit aggregation; weight merging.</x:v>
      </x:c>
      <x:c r="N45" s="60" t="str">
        <x:v>Collective output/safety integrity degradation.</x:v>
      </x:c>
      <x:c r="O45" s="60" t="str">
        <x:v>Average degradation reported across reasoning and safety tasks; supervisor recovers much of benign performance, but effects are task/collaboration specific.</x:v>
      </x:c>
    </x:row>
    <x:row r="46">
      <x:c r="A46" s="60" t="n">
        <x:v>45</x:v>
      </x:c>
      <x:c r="B46" s="60" t="str">
        <x:v>yu2025codes</x:v>
      </x:c>
      <x:c r="C46" s="60" t="str">
        <x:v>attack</x:v>
      </x:c>
      <x:c r="D46" s="60" t="str">
        <x:v>attack</x:v>
      </x:c>
      <x:c r="E46" s="60" t="str">
        <x:v>evaluation</x:v>
      </x:c>
      <x:c r="F46" s="60" t="str">
        <x:v>confirmed_attack_bearing</x:v>
      </x:c>
      <x:c r="G46" s="60" t="str">
        <x:v>introduces_attack</x:v>
      </x:c>
      <x:c r="H46" s="60" t="str">
        <x:v>yes</x:v>
      </x:c>
      <x:c r="I46" s="60" t="str">
        <x:v>External adversary able to intervene once against one agent/message.</x:v>
      </x:c>
      <x:c r="J46" s="60" t="str">
        <x:v>Optimize and inject a token-level suffix; no continuing control after the initial intervention.</x:v>
      </x:c>
      <x:c r="K46" s="60" t="str">
        <x:v>Agents exchange generated text and retain sufficient context for the suffix to be copied or regenerated downstream.</x:v>
      </x:c>
      <x:c r="L46" s="60" t="str">
        <x:v>CODES continuous-space token optimization plus discrete coordinate search for a self-repeating adversarial suffix.</x:v>
      </x:c>
      <x:c r="M46" s="60" t="str">
        <x:v>Initial prompt/message; retained conversation context; inter-agent message chain; composed safeguard pipeline.</x:v>
      </x:c>
      <x:c r="N46" s="60" t="str">
        <x:v>Compromise propagation and containment failure.</x:v>
      </x:c>
      <x:c r="O46" s="60" t="str">
        <x:v>One seed affects later agents or multiple safeguard stages and induces harmful output; impact is demonstrated in three defined attack scenarios.</x:v>
      </x:c>
    </x:row>
    <x:row r="47">
      <x:c r="A47" s="60" t="n">
        <x:v>46</x:v>
      </x:c>
      <x:c r="B47" s="60" t="str">
        <x:v>tian2023evil_geniuses</x:v>
      </x:c>
      <x:c r="C47" s="60" t="str">
        <x:v>attack</x:v>
      </x:c>
      <x:c r="D47" s="60" t="str">
        <x:v>attack</x:v>
      </x:c>
      <x:c r="E47" s="60" t="str">
        <x:v>evaluation; attack-generation framework</x:v>
      </x:c>
      <x:c r="F47" s="60" t="str">
        <x:v>preprint_attack_bearing</x:v>
      </x:c>
      <x:c r="G47" s="60" t="str">
        <x:v>introduces_attack_generation; evaluates_MAS_targets</x:v>
      </x:c>
      <x:c r="H47" s="60" t="str">
        <x:v>yes, claim-level</x:v>
      </x:c>
      <x:c r="I47" s="60" t="str">
        <x:v>Malicious user or system designer controlling role/system prompts.</x:v>
      </x:c>
      <x:c r="J47" s="60" t="str">
        <x:v>Inject template or Red–Blue-generated role-specific prompts; no model-weight or framework-code control.</x:v>
      </x:c>
      <x:c r="K47" s="60" t="str">
        <x:v>Role prompts are configurable and outputs are exchanged during collaboration.</x:v>
      </x:c>
      <x:c r="L47" s="60" t="str">
        <x:v>Role-conditioned prompt attack generated through Red–Blue interaction.</x:v>
      </x:c>
      <x:c r="M47" s="60" t="str">
        <x:v>Role prompts; system prompts; inter-agent dialogue; downstream review/filter.</x:v>
      </x:c>
      <x:c r="N47" s="60" t="str">
        <x:v>Collaborative safety/output-integrity failure.</x:v>
      </x:c>
      <x:c r="O47" s="60" t="str">
        <x:v>Higher harmful/non-refusal generation in tested agent systems than selected isolated-model baselines; no environment-side action is verified.</x:v>
      </x:c>
    </x:row>
    <x:row r="48">
      <x:c r="A48" s="60" t="n">
        <x:v>47</x:v>
      </x:c>
      <x:c r="B48" s="60" t="str">
        <x:v>tan2024wolf_within</x:v>
      </x:c>
      <x:c r="C48" s="60" t="str">
        <x:v>attack</x:v>
      </x:c>
      <x:c r="D48" s="60" t="str">
        <x:v>attack</x:v>
      </x:c>
      <x:c r="E48" s="60" t="str">
        <x:v>evaluation</x:v>
      </x:c>
      <x:c r="F48" s="60" t="str">
        <x:v>workshop_attack_bearing</x:v>
      </x:c>
      <x:c r="G48" s="60" t="str">
        <x:v>introduces_attack</x:v>
      </x:c>
      <x:c r="H48" s="60" t="str">
        <x:v>yes</x:v>
      </x:c>
      <x:c r="I48" s="60" t="str">
        <x:v>External white-box adversary controlling/perturbing the first agent’s multimodal input.</x:v>
      </x:c>
      <x:c r="J48" s="60" t="str">
        <x:v>Gradient and sampling access; optimize image/audio perturbation through the wolf-to-sheep composition.</x:v>
      </x:c>
      <x:c r="K48" s="60" t="str">
        <x:v>Workflow forwards generated text and perturbed media from first MLLM to second; white-box access to composed models.</x:v>
      </x:c>
      <x:c r="L48" s="60" t="str">
        <x:v>Projected-gradient cross-agent multimodal injection through a wolf operative.</x:v>
      </x:c>
      <x:c r="M48" s="60" t="str">
        <x:v>Multimodal input; forwarded media; inter-agent prompt.</x:v>
      </x:c>
      <x:c r="N48" s="60" t="str">
        <x:v>Downstream agent safety/output-integrity failure.</x:v>
      </x:c>
      <x:c r="O48" s="60" t="str">
        <x:v>A clean recipient emits targeted prohibited content; onward reproduction or population spread is not demonstrated.</x:v>
      </x:c>
    </x:row>
    <x:row r="49">
      <x:c r="A49" s="60" t="n">
        <x:v>48</x:v>
      </x:c>
      <x:c r="B49" s="60" t="str">
        <x:v>zheng2025integrity_attacks</x:v>
      </x:c>
      <x:c r="C49" s="60" t="str">
        <x:v>attack</x:v>
      </x:c>
      <x:c r="D49" s="60" t="str">
        <x:v>attack</x:v>
      </x:c>
      <x:c r="E49" s="60" t="str">
        <x:v>defense evaluation; empirical evaluation</x:v>
      </x:c>
      <x:c r="F49" s="60" t="str">
        <x:v>preprint_attack_bearing</x:v>
      </x:c>
      <x:c r="G49" s="60" t="str">
        <x:v>introduces_attack_family; evaluates_monitors</x:v>
      </x:c>
      <x:c r="H49" s="60" t="str">
        <x:v>yes</x:v>
      </x:c>
      <x:c r="I49" s="60" t="str">
        <x:v>Self-interested malicious member with an attacker-chosen role prompt.</x:v>
      </x:c>
      <x:c r="J49" s="60" t="str">
        <x:v>Send protocol-valid messages/code/comments, manipulate peers and monitor-visible evidence, retain assigned role.</x:v>
      </x:c>
      <x:c r="K49" s="60" t="str">
        <x:v>System scores individual/collective contributions or supports workload/tool choice; monitor relies on the transcript.</x:v>
      </x:c>
      <x:c r="L49" s="60" t="str">
        <x:v>Four distinct mechanisms: Scapegoater, Boaster, Self-Dealer, and Free-Rider.</x:v>
      </x:c>
      <x:c r="M49" s="60" t="str">
        <x:v>Peer messages; shared work products; contribution monitor; tool recommendations; workload allocation.</x:v>
      </x:c>
      <x:c r="N49" s="60" t="str">
        <x:v>Attribution/incentive/coordination integrity failure.</x:v>
      </x:c>
      <x:c r="O49" s="60" t="str">
        <x:v>Distorted credit, blame, workload, or tool choice while final task functionality can remain intact.</x:v>
      </x:c>
    </x:row>
    <x:row r="50">
      <x:c r="A50" s="60" t="n">
        <x:v>49</x:v>
      </x:c>
      <x:c r="B50" s="60" t="str">
        <x:v>xie2025_whos_the_mole</x:v>
      </x:c>
      <x:c r="C50" s="60" t="str">
        <x:v>attack</x:v>
      </x:c>
      <x:c r="D50" s="60" t="str">
        <x:v>evaluation</x:v>
      </x:c>
      <x:c r="E50" s="60" t="str">
        <x:v>attack family; defense/detection; benchmark</x:v>
      </x:c>
      <x:c r="F50" s="60" t="str">
        <x:v>preprint_attack_bearing</x:v>
      </x:c>
      <x:c r="G50" s="60" t="str">
        <x:v>introduces_attacks; proposes_defense</x:v>
      </x:c>
      <x:c r="H50" s="60" t="str">
        <x:v>yes</x:v>
      </x:c>
      <x:c r="I50" s="60" t="str">
        <x:v>One intention-hiding malicious member.</x:v>
      </x:c>
      <x:c r="J50" s="60" t="str">
        <x:v>Alter its own protocol-valid messages while appearing role-consistent; no access to peers’ internals.</x:v>
      </x:c>
      <x:c r="K50" s="60" t="str">
        <x:v>Peers trust ordinary member messages; defender can probe, monitor, and possibly remove members.</x:v>
      </x:c>
      <x:c r="L50" s="60" t="str">
        <x:v>Four distinct strategies: suboptimal fixation, reframing misalignment, fake injection, and execution delay.</x:v>
      </x:c>
      <x:c r="M50" s="60" t="str">
        <x:v>Role-consistent peer communication; coordination; membership; pre-task interrogation.</x:v>
      </x:c>
      <x:c r="N50" s="60" t="str">
        <x:v>Collective decision/objective integrity failure.</x:v>
      </x:c>
      <x:c r="O50" s="60" t="str">
        <x:v>Reduced task success or increased completion cost; AgentXposed detection/recovery in controlled tasks.</x:v>
      </x:c>
    </x:row>
    <x:row r="51">
      <x:c r="A51" s="60" t="n">
        <x:v>50</x:v>
      </x:c>
      <x:c r="B51" s="60" t="str">
        <x:v>zhu2025_collaborative_shadows</x:v>
      </x:c>
      <x:c r="C51" s="60" t="str">
        <x:v>attack</x:v>
      </x:c>
      <x:c r="D51" s="60" t="str">
        <x:v>attack</x:v>
      </x:c>
      <x:c r="E51" s="60" t="str">
        <x:v>benchmark; evaluation</x:v>
      </x:c>
      <x:c r="F51" s="60" t="str">
        <x:v>preprint_attack_bearing</x:v>
      </x:c>
      <x:c r="G51" s="60" t="str">
        <x:v>introduces_attack; releases_benchmark</x:v>
      </x:c>
      <x:c r="H51" s="60" t="str">
        <x:v>yes</x:v>
      </x:c>
      <x:c r="I51" s="60" t="str">
        <x:v>Tool/supply-chain adversary plus trigger-capable user/operator.</x:v>
      </x:c>
      <x:c r="J51" s="60" t="str">
        <x:v>Poison selected tool implementations/descriptions and induce a designated tool-use sequence.</x:v>
      </x:c>
      <x:c r="K51" s="60" t="str">
        <x:v>Agents have public/private tools whose outputs/side effects compose; local inspection does not see a complete active payload.</x:v>
      </x:c>
      <x:c r="L51" s="60" t="str">
        <x:v>Distributed conditional tool-backdoor primitives that assemble under a cross-agent collaboration sequence.</x:v>
      </x:c>
      <x:c r="M51" s="60" t="str">
        <x:v>Tool supply chain; role-private capabilities; public tools; invocation order; provenance.</x:v>
      </x:c>
      <x:c r="N51" s="60" t="str">
        <x:v>Delegation/authority and action-integrity failure, with confidentiality impact in exfiltration cases.</x:v>
      </x:c>
      <x:c r="O51" s="60" t="str">
        <x:v>Targeted sandbox behavior such as data exfiltration at high triggered ASR while clean performance remains similar.</x:v>
      </x:c>
    </x:row>
    <x:row r="52">
      <x:c r="A52" s="60" t="n">
        <x:v>51</x:v>
      </x:c>
      <x:c r="B52" s="60" t="str">
        <x:v>liang2025_dont_trust_upstream</x:v>
      </x:c>
      <x:c r="C52" s="60" t="str">
        <x:v>attack</x:v>
      </x:c>
      <x:c r="D52" s="60" t="str">
        <x:v>attack</x:v>
      </x:c>
      <x:c r="E52" s="60" t="str">
        <x:v>defense; benchmark; evaluation</x:v>
      </x:c>
      <x:c r="F52" s="60" t="str">
        <x:v>preprint_attack_bearing</x:v>
      </x:c>
      <x:c r="G52" s="60" t="str">
        <x:v>introduces_attack; proposes_defense</x:v>
      </x:c>
      <x:c r="H52" s="60" t="str">
        <x:v>yes</x:v>
      </x:c>
      <x:c r="I52" s="60" t="str">
        <x:v>Black-box external adversary controlling content observed by an exposed edge agent.</x:v>
      </x:c>
      <x:c r="J52" s="60" t="str">
        <x:v>Query system, infer roles/edges, contaminate edge input, adapt payloads based on outcomes; no direct internal-member compromise.</x:v>
      </x:c>
      <x:c r="K52" s="60" t="str">
        <x:v>At least one dependency path links exposed agent to a more privileged agent; downstream agents reinterpret/execute upstream output.</x:v>
      </x:c>
      <x:c r="L52" s="60" t="str">
        <x:v>TOMA: topology reconnaissance, contamination modeling, path selection, and hierarchical payload encapsulation.</x:v>
      </x:c>
      <x:c r="M52" s="60" t="str">
        <x:v>External tool/content; hidden graph; delegated task edges; downstream trust; privileged tools.</x:v>
      </x:c>
      <x:c r="N52" s="60" t="str">
        <x:v>Compromise containment and delegation/authority integrity failure.</x:v>
      </x:c>
      <x:c r="O52" s="60" t="str">
        <x:v>Irrelevant/destructive actions including privileged filesystem or command operations in local benchmark/application setups.</x:v>
      </x:c>
    </x:row>
    <x:row r="53">
      <x:c r="A53" s="60" t="n">
        <x:v>52</x:v>
      </x:c>
      <x:c r="B53" s="60" t="str">
        <x:v>weckbecker2026_thought_virus</x:v>
      </x:c>
      <x:c r="C53" s="60" t="str">
        <x:v>attack</x:v>
      </x:c>
      <x:c r="D53" s="60" t="str">
        <x:v>attack</x:v>
      </x:c>
      <x:c r="E53" s="60" t="str">
        <x:v>evaluation</x:v>
      </x:c>
      <x:c r="F53" s="60" t="str">
        <x:v>preprint_attack_bearing</x:v>
      </x:c>
      <x:c r="G53" s="60" t="str">
        <x:v>introduces_attack</x:v>
      </x:c>
      <x:c r="H53" s="60" t="str">
        <x:v>yes</x:v>
      </x:c>
      <x:c r="I53" s="60" t="str">
        <x:v>Operator or prompt attacker controlling one member’s system prompt.</x:v>
      </x:c>
      <x:c r="J53" s="60" t="str">
        <x:v>Seed a three-digit subliminal token preference; no weight access or verbatim payload forwarding.</x:v>
      </x:c>
      <x:c r="K53" s="60" t="str">
        <x:v>Agents relay semantic summaries/responses through a chain; downstream models can acquire latent preference from outputs.</x:v>
      </x:c>
      <x:c r="L53" s="60" t="str">
        <x:v>Subliminal prompting and semantic preference propagation without explicit malicious string repetition.</x:v>
      </x:c>
      <x:c r="M53" s="60" t="str">
        <x:v>One member’s system prompt; ordinary inter-agent semantic messages; downstream behavioral distribution.</x:v>
      </x:c>
      <x:c r="N53" s="60" t="str">
        <x:v>Compromise propagation/collective value or truthfulness integrity degradation.</x:v>
      </x:c>
      <x:c r="O53" s="60" t="str">
        <x:v>Elevated target-concept preference over hops and reduced TruthfulQA accuracy/log probability for selected tokens.</x:v>
      </x:c>
    </x:row>
    <x:row r="54">
      <x:c r="A54" s="60" t="n">
        <x:v>53</x:v>
      </x:c>
      <x:c r="B54" s="60" t="str">
        <x:v>lupinacci2025darkside</x:v>
      </x:c>
      <x:c r="C54" s="60" t="str">
        <x:v>attack</x:v>
      </x:c>
      <x:c r="D54" s="60" t="str">
        <x:v>attack</x:v>
      </x:c>
      <x:c r="E54" s="60" t="str">
        <x:v>evaluation</x:v>
      </x:c>
      <x:c r="F54" s="60" t="str">
        <x:v>preprint_attack_bearing</x:v>
      </x:c>
      <x:c r="G54" s="60" t="str">
        <x:v>compares_attack_boundaries</x:v>
      </x:c>
      <x:c r="H54" s="60" t="str">
        <x:v>yes, isolate inter-agent condition</x:v>
      </x:c>
      <x:c r="I54" s="60" t="str">
        <x:v>Malicious peer agent in the MAS-specific condition; also external user and RAG-data attacker in comparators.</x:v>
      </x:c>
      <x:c r="J54" s="60" t="str">
        <x:v>Send the same malware-installation/system-compromise request through different provenance channels.</x:v>
      </x:c>
      <x:c r="K54" s="60" t="str">
        <x:v>Victim is tool-capable and can install/execute software; safety behavior depends on sender/context provenance.</x:v>
      </x:c>
      <x:c r="L54" s="60" t="str">
        <x:v>Inter-Agent Trust Exploitation, a confused-deputy/provenance attack where a peer-origin request bypasses refusals.</x:v>
      </x:c>
      <x:c r="M54" s="60" t="str">
        <x:v>Peer-agent request channel; request provenance; tool execution; user/RAG boundaries as controls.</x:v>
      </x:c>
      <x:c r="N54" s="60" t="str">
        <x:v>Cross-agent authorization and action-integrity failure.</x:v>
      </x:c>
      <x:c r="O54" s="60" t="str">
        <x:v>Controlled host-compromise actions; 18/18 tested models accepted the inter-agent condition in the paper’s setup.</x:v>
      </x:c>
    </x:row>
    <x:row r="55">
      <x:c r="A55" s="60" t="n">
        <x:v>54</x:v>
      </x:c>
      <x:c r="B55" s="60" t="str">
        <x:v>sun2026insider</x:v>
      </x:c>
      <x:c r="C55" s="60" t="str">
        <x:v>attack</x:v>
      </x:c>
      <x:c r="D55" s="60" t="str">
        <x:v>attack</x:v>
      </x:c>
      <x:c r="E55" s="60" t="str">
        <x:v>preliminary evaluation</x:v>
      </x:c>
      <x:c r="F55" s="60" t="str">
        <x:v>preliminary_preprint_attack_bearing</x:v>
      </x:c>
      <x:c r="G55" s="60" t="str">
        <x:v>introduces_attack</x:v>
      </x:c>
      <x:c r="H55" s="60" t="str">
        <x:v>yes</x:v>
      </x:c>
      <x:c r="I55" s="60" t="str">
        <x:v>One legitimate malicious insider.</x:v>
      </x:c>
      <x:c r="J55" s="60" t="str">
        <x:v>Observe interaction state; send protocol-valid natural-language messages; train an RL policy against a learned surrogate world model.</x:v>
      </x:c>
      <x:c r="K55" s="60" t="str">
        <x:v>Benign agents iteratively deliberate; attacker can model their dynamics; one insider is admitted.</x:v>
      </x:c>
      <x:c r="L55" s="60" t="str">
        <x:v>World-model-based reinforcement-learning policy for adaptive consensus delay/disruption.</x:v>
      </x:c>
      <x:c r="M55" s="60" t="str">
        <x:v>Member messages; iterative consensus protocol; latent behavioral state.</x:v>
      </x:c>
      <x:c r="N55" s="60" t="str">
        <x:v>Collective agreement/termination and decision-integrity failure.</x:v>
      </x:c>
      <x:c r="O55" s="60" t="str">
        <x:v>Lower benign consensus rate and longer disagreement episodes than a direct malicious-prompt baseline.</x:v>
      </x:c>
    </x:row>
    <x:row r="56">
      <x:c r="A56" s="60" t="n">
        <x:v>55</x:v>
      </x:c>
      <x:c r="B56" s="60" t="str">
        <x:v>ahad2026sif</x:v>
      </x:c>
      <x:c r="C56" s="60" t="str">
        <x:v>attack</x:v>
      </x:c>
      <x:c r="D56" s="60" t="str">
        <x:v>attack</x:v>
      </x:c>
      <x:c r="E56" s="60" t="str">
        <x:v>defense; evaluation; theoretical analysis</x:v>
      </x:c>
      <x:c r="F56" s="60" t="str">
        <x:v>workshop_attack_bearing</x:v>
      </x:c>
      <x:c r="G56" s="60" t="str">
        <x:v>introduces_attack; proposes_defense</x:v>
      </x:c>
      <x:c r="H56" s="60" t="str">
        <x:v>yes, boundary-labeled</x:v>
      </x:c>
      <x:c r="I56" s="60" t="str">
        <x:v>Malicious user submitting one crafted but superficially legitimate request.</x:v>
      </x:c>
      <x:c r="J56" s="60" t="str">
        <x:v>Choose initial request only; no later interaction or direct component compromise.</x:v>
      </x:c>
      <x:c r="K56" s="60" t="str">
        <x:v>Orchestrator autonomously decomposes work; local safety classifiers see subtasks but not the complete plan/data dependencies.</x:v>
      </x:c>
      <x:c r="L56" s="60" t="str">
        <x:v>Semantic Intent Fragmentation across locally benign subtasks.</x:v>
      </x:c>
      <x:c r="M56" s="60" t="str">
        <x:v>Orchestrator decomposition; local subtask guardrails; plan/data-flow boundary.</x:v>
      </x:c>
      <x:c r="N56" s="60" t="str">
        <x:v>Compositional authorization and information-flow/action-integrity failure.</x:v>
      </x:c>
      <x:c r="O56" s="60" t="str">
        <x:v>10 of 14 generated scenarios produced policy-violating plans while all component tasks passed local checks; defense detects all confirmed cases in the same small study.</x:v>
      </x:c>
    </x:row>
    <x:row r="57">
      <x:c r="A57" s="60" t="n">
        <x:v>56</x:v>
      </x:c>
      <x:c r="B57" s="60" t="str">
        <x:v>cai2026grmp</x:v>
      </x:c>
      <x:c r="C57" s="60" t="str">
        <x:v>attack</x:v>
      </x:c>
      <x:c r="D57" s="60" t="str">
        <x:v>attack</x:v>
      </x:c>
      <x:c r="E57" s="60" t="str">
        <x:v>evaluation; distributed/federated training</x:v>
      </x:c>
      <x:c r="F57" s="60" t="str">
        <x:v>adjacent_attack_bearing</x:v>
      </x:c>
      <x:c r="G57" s="60" t="str">
        <x:v>introduces_training_attack</x:v>
      </x:c>
      <x:c r="H57" s="60" t="str">
        <x:v>no for core attack corpus; yes in adjacent ledger</x:v>
      </x:c>
      <x:c r="I57" s="60" t="str">
        <x:v>Malicious federated participant/client.</x:v>
      </x:c>
      <x:c r="J57" s="60" t="str">
        <x:v>Observe/overhear benign updates and submit a statistically camouflaged poisoned local update.</x:v>
      </x:c>
      <x:c r="K57" s="60" t="str">
        <x:v>Central federated aggregation; access to benign-update structure; shared global model training.</x:v>
      </x:c>
      <x:c r="L57" s="60" t="str">
        <x:v>Graph representation-based model poisoning using feature-correlation graph and variational graph autoencoder.</x:v>
      </x:c>
      <x:c r="M57" s="60" t="str">
        <x:v>Federated model-update channel and aggregation server.</x:v>
      </x:c>
      <x:c r="N57" s="60" t="str">
        <x:v>Distributed training/global-model integrity failure.</x:v>
      </x:c>
      <x:c r="O57" s="60" t="str">
        <x:v>Global model accuracy degradation while evading tested statistical defenses.</x:v>
      </x:c>
    </x:row>
    <x:row r="58">
      <x:c r="A58" s="60" t="n">
        <x:v>57</x:v>
      </x:c>
      <x:c r="B58" s="60" t="str">
        <x:v>huang2026mcpthreatmodel</x:v>
      </x:c>
      <x:c r="C58" s="60" t="str">
        <x:v>attack</x:v>
      </x:c>
      <x:c r="D58" s="60" t="str">
        <x:v>evaluation</x:v>
      </x:c>
      <x:c r="E58" s="60" t="str">
        <x:v>threat modeling; attack study; defense recommendations</x:v>
      </x:c>
      <x:c r="F58" s="60" t="str">
        <x:v>adjacent_attack_bearing</x:v>
      </x:c>
      <x:c r="G58" s="60" t="str">
        <x:v>models_and_evaluates_attack</x:v>
      </x:c>
      <x:c r="H58" s="60" t="str">
        <x:v>no for core attack corpus; yes in adjacent protocol ledger</x:v>
      </x:c>
      <x:c r="I58" s="60" t="str">
        <x:v>Malicious or compromised MCP server/tool publisher.</x:v>
      </x:c>
      <x:c r="J58" s="60" t="str">
        <x:v>Supply attacker-controlled names, descriptions, schemas, and metadata that enter model context.</x:v>
      </x:c>
      <x:c r="K58" s="60" t="str">
        <x:v>Client retrieves server metadata and exposes it to the LLM without independent semantic validation.</x:v>
      </x:c>
      <x:c r="L58" s="60" t="str">
        <x:v>Tool-metadata prompt injection/tool poisoning.</x:v>
      </x:c>
      <x:c r="M58" s="60" t="str">
        <x:v>MCP client-server boundary; client-LLM context boundary; tool selection and parameter display.</x:v>
      </x:c>
      <x:c r="N58" s="60" t="str">
        <x:v>Protocol contextual integrity and delegated action-integrity failure.</x:v>
      </x:c>
      <x:c r="O58" s="60" t="str">
        <x:v>Attacker-influenced tool selection or parameters and inadequate user visibility in controlled client comparisons.</x:v>
      </x:c>
    </x:row>
    <x:row r="59">
      <x:c r="A59" s="60" t="n">
        <x:v>58</x:v>
      </x:c>
      <x:c r="B59" s="60" t="str">
        <x:v>xiao2026sgoatmas</x:v>
      </x:c>
      <x:c r="C59" s="60" t="str">
        <x:v>attack</x:v>
      </x:c>
      <x:c r="D59" s="60" t="str">
        <x:v>attack</x:v>
      </x:c>
      <x:c r="E59" s="60" t="str">
        <x:v>evaluation</x:v>
      </x:c>
      <x:c r="F59" s="60" t="str">
        <x:v>workshop_attack_bearing</x:v>
      </x:c>
      <x:c r="G59" s="60" t="str">
        <x:v>introduces_attack</x:v>
      </x:c>
      <x:c r="H59" s="60" t="str">
        <x:v>yes</x:v>
      </x:c>
      <x:c r="I59" s="60" t="str">
        <x:v>One malicious member at a selectable workflow position.</x:v>
      </x:c>
      <x:c r="J59" s="60" t="str">
        <x:v>Observe local workflow context, reconstruct/score structural attack edges, send protocol-valid crafted payload.</x:v>
      </x:c>
      <x:c r="K59" s="60" t="str">
        <x:v>An honest downstream agent relays/acts on the malicious reasoning; detector attributes suspicious output locally.</x:v>
      </x:c>
      <x:c r="L59" s="60" t="str">
        <x:v>SGoatMAS structural reconnaissance and VRR-guided scapegoating/systemic chain poisoning.</x:v>
      </x:c>
      <x:c r="M59" s="60" t="str">
        <x:v>Inter-agent reasoning edges; role position; aggregation path; attribution monitor.</x:v>
      </x:c>
      <x:c r="N59" s="60" t="str">
        <x:v>Collective decision integrity and accountability/attribution failure.</x:v>
      </x:c>
      <x:c r="O59" s="60" t="str">
        <x:v>Reduced final accuracy with lower detector attribution to attacker and higher apparent responsibility assigned to honest downstream agent.</x:v>
      </x:c>
    </x:row>
    <x:row r="60">
      <x:c r="A60" s="60" t="n">
        <x:v>59</x:v>
      </x:c>
      <x:c r="B60" s="60" t="str">
        <x:v>han2025alignment_tipping</x:v>
      </x:c>
      <x:c r="C60" s="60" t="str">
        <x:v>attack</x:v>
      </x:c>
      <x:c r="D60" s="60" t="str">
        <x:v>evaluation</x:v>
      </x:c>
      <x:c r="E60" s="60" t="str">
        <x:v>endogenous failure study; defense evaluation</x:v>
      </x:c>
      <x:c r="F60" s="60" t="str">
        <x:v>not_attack_primary</x:v>
      </x:c>
      <x:c r="G60" s="60" t="str">
        <x:v>studies_endogenous_failure</x:v>
      </x:c>
      <x:c r="H60" s="60" t="str">
        <x:v>no as attack; yes in failure/evaluation ledger</x:v>
      </x:c>
      <x:c r="I60" s="60" t="str">
        <x:v>No external or malicious-member adversary in the imitative-diffusion pathway.</x:v>
      </x:c>
      <x:c r="J60" s="60" t="str">
        <x:v>Not applicable; adverse rewards and observed peer outcomes drive adaptation.</x:v>
      </x:c>
      <x:c r="K60" s="60" t="str">
        <x:v>Agents update strategies from rewards and can observe successful peer violations.</x:v>
      </x:c>
      <x:c r="L60" s="60" t="str">
        <x:v>Feedback-driven self-interested exploration and peer imitation/strategy diffusion.</x:v>
      </x:c>
      <x:c r="M60" s="60" t="str">
        <x:v>Reward feedback; peer observation; behavioral update process.</x:v>
      </x:c>
      <x:c r="N60" s="60" t="str">
        <x:v>Collective objective/alignment integrity failure.</x:v>
      </x:c>
      <x:c r="O60" s="60" t="str">
        <x:v>Initially aligned agents adopt violations over rounds in constructed eight-agent simulations.</x:v>
      </x:c>
    </x:row>
    <x:row r="61">
      <x:c r="A61" s="60" t="n">
        <x:v>60</x:v>
      </x:c>
      <x:c r="B61" s="60" t="str">
        <x:v>long2025funcpoison</x:v>
      </x:c>
      <x:c r="C61" s="60" t="str">
        <x:v>attack</x:v>
      </x:c>
      <x:c r="D61" s="60" t="str">
        <x:v>attack</x:v>
      </x:c>
      <x:c r="E61" s="60" t="str">
        <x:v>evaluation; defense evaluation</x:v>
      </x:c>
      <x:c r="F61" s="60" t="str">
        <x:v>preprint_attack_bearing</x:v>
      </x:c>
      <x:c r="G61" s="60" t="str">
        <x:v>introduces_attack</x:v>
      </x:c>
      <x:c r="H61" s="60" t="str">
        <x:v>yes</x:v>
      </x:c>
      <x:c r="I61" s="60" t="str">
        <x:v>Malicious or compromised shared function-library/tool provider.</x:v>
      </x:c>
      <x:c r="J61" s="60" t="str">
        <x:v>Add deceptive function descriptions and callable malicious tools; target selected agent roles.</x:v>
      </x:c>
      <x:c r="K61" s="60" t="str">
        <x:v>Agents trust text-described shared library entries and pass outputs downstream.</x:v>
      </x:c>
      <x:c r="L61" s="60" t="str">
        <x:v>Function-library/tool poisoning with direct and downstream cascade paths.</x:v>
      </x:c>
      <x:c r="M61" s="60" t="str">
        <x:v>Shared tool metadata/function library; specialized-agent pipeline; downstream planning.</x:v>
      </x:c>
      <x:c r="N61" s="60" t="str">
        <x:v>Communication/shared-artifact and joint trajectory/action-integrity failure.</x:v>
      </x:c>
      <x:c r="O61" s="60" t="str">
        <x:v>Trajectory error and collision-rate increases in AgentDriver and AgentThink.</x:v>
      </x:c>
    </x:row>
    <x:row r="62">
      <x:c r="A62" s="60" t="n">
        <x:v>61</x:v>
      </x:c>
      <x:c r="B62" s="60" t="str">
        <x:v>naik2026omni_leak</x:v>
      </x:c>
      <x:c r="C62" s="60" t="str">
        <x:v>attack</x:v>
      </x:c>
      <x:c r="D62" s="60" t="str">
        <x:v>attack</x:v>
      </x:c>
      <x:c r="E62" s="60" t="str">
        <x:v>benchmark; evaluation</x:v>
      </x:c>
      <x:c r="F62" s="60" t="str">
        <x:v>preprint_attack_bearing</x:v>
      </x:c>
      <x:c r="G62" s="60" t="str">
        <x:v>introduces_attack; releases_benchmark</x:v>
      </x:c>
      <x:c r="H62" s="60" t="str">
        <x:v>yes</x:v>
      </x:c>
      <x:c r="I62" s="60" t="str">
        <x:v>External content adversary without insider implementation knowledge.</x:v>
      </x:c>
      <x:c r="J62" s="60" t="str">
        <x:v>Place indirect prompt injection in public data; wait for privileged user query; receive exfiltrated email.</x:v>
      </x:c>
      <x:c r="K62" s="60" t="str">
        <x:v>Orchestrator delegates to distinct SQL/data and notification agents; poisoned record is retrieved; per-agent access controls allow split capabilities.</x:v>
      </x:c>
      <x:c r="L62" s="60" t="str">
        <x:v>Indirect prompt injection followed by orchestrator-mediated delegated authority composition and exfiltration.</x:v>
      </x:c>
      <x:c r="M62" s="60" t="str">
        <x:v>Public data; data-agent context; orchestrator planning; notification tool/email boundary.</x:v>
      </x:c>
      <x:c r="N62" s="60" t="str">
        <x:v>Cross-principal confidentiality and delegation/authorization integrity failure.</x:v>
      </x:c>
      <x:c r="O62" s="60" t="str">
        <x:v>Exact sensitive records delivered to attacker-specified email in synthetic enterprise workflow.</x:v>
      </x:c>
    </x:row>
    <x:row r="63">
      <x:c r="A63" s="60" t="n">
        <x:v>62</x:v>
      </x:c>
      <x:c r="B63" s="60" t="str">
        <x:v>zhou2026shield_target</x:v>
      </x:c>
      <x:c r="C63" s="60" t="str">
        <x:v>attack</x:v>
      </x:c>
      <x:c r="D63" s="60" t="str">
        <x:v>attack</x:v>
      </x:c>
      <x:c r="E63" s="60" t="str">
        <x:v>evaluation; defense evaluation</x:v>
      </x:c>
      <x:c r="F63" s="60" t="str">
        <x:v>preprint_attack_bearing</x:v>
      </x:c>
      <x:c r="G63" s="60" t="str">
        <x:v>introduces_general_attack; evaluates_MAS_amplification</x:v>
      </x:c>
      <x:c r="H63" s="60" t="str">
        <x:v>yes, isolate MAS claim</x:v>
      </x:c>
      <x:c r="I63" s="60" t="str">
        <x:v>External content adversary whose payload is read and evaluated by runtime guardrail.</x:v>
      </x:c>
      <x:c r="J63" s="60" t="str">
        <x:v>Inject natural-language content optimized to extend guardrail reasoning; no guardrail code or agent control.</x:v>
      </x:c>
      <x:c r="K63" s="60" t="str">
        <x:v>Guardrail is on action-critical path and shared among agents; scheduling/resource limits allow one request to block others.</x:v>
      </x:c>
      <x:c r="L63" s="60" t="str">
        <x:v>Schema-shaped/optimized reasoning-extension payload causing guardrail token and latency amplification.</x:v>
      </x:c>
      <x:c r="M63" s="60" t="str">
        <x:v>Untrusted content; shared guardrail service; scheduling/queue; timeout policy.</x:v>
      </x:c>
      <x:c r="N63" s="60" t="str">
        <x:v>Shared-service availability and resource-isolation failure.</x:v>
      </x:c>
      <x:c r="O63" s="60" t="str">
        <x:v>13–63× token amplification in standalone tests, up to 148× latency in end-to-end deployments, and starvation/head-of-line blocking in shared MAS guardrail setting.</x:v>
      </x:c>
    </x:row>
    <x:row r="64">
      <x:c r="A64" s="60" t="n">
        <x:v>63</x:v>
      </x:c>
      <x:c r="B64" s="60" t="str">
        <x:v>rosser2025agentbreeder</x:v>
      </x:c>
      <x:c r="C64" s="60" t="str">
        <x:v>defense</x:v>
      </x:c>
      <x:c r="D64" s="60" t="str">
        <x:v>defense</x:v>
      </x:c>
      <x:c r="E64" s="60" t="str">
        <x:v>evaluation; automated system-design search; red-team safety probing</x:v>
      </x:c>
      <x:c r="F64" s="60" t="str">
        <x:v>attack_relevant_no_discrete_runtime_attack_instance</x:v>
      </x:c>
      <x:c r="G64" s="60" t="str">
        <x:v>red-mode discovers unsafe scaffolds; does not introduce a conventional adversary with a fixed foothold/capability model</x:v>
      </x:c>
      <x:c r="H64" s="60" t="str">
        <x:v>no</x:v>
      </x:c>
      <x:c r="I64" s="60" t="str">
        <x:v>No fixed external adversary. RedAgentBreeder optimizes scaffold designs under an inverted safety objective.</x:v>
      </x:c>
      <x:c r="J64" s="60" t="str">
        <x:v>Search over role prompts, agent programs, and communication/scaffold structures through evolutionary optimization.</x:v>
      </x:c>
      <x:c r="K64" s="60" t="str">
        <x:v>Safety and capability benchmarks are available as fitness objectives; generated scaffold behavior is evaluated end to end.</x:v>
      </x:c>
      <x:c r="L64" s="60" t="str">
        <x:v>Multi-objective evolutionary search can select either safer scaffolds or capability-preserving unsafe scaffolds.</x:v>
      </x:c>
      <x:c r="M64" s="60" t="str">
        <x:v>System architecture; role prompts; communication/scaffold composition; evaluation objective.</x:v>
      </x:c>
      <x:c r="N64" s="60" t="str">
        <x:v>Compositional safety degradation or reward-hacked safety behavior at the scaffold level.</x:v>
      </x:c>
      <x:c r="O64" s="60" t="str">
        <x:v>Benchmark-level unsafe behavior in red mode and reported safety-score improvement in blue mode; not a demonstrated deployed compromise.</x:v>
      </x:c>
    </x:row>
    <x:row r="65">
      <x:c r="A65" s="60" t="n">
        <x:v>64</x:v>
      </x:c>
      <x:c r="B65" s="60" t="str">
        <x:v>mao2025agentsafe</x:v>
      </x:c>
      <x:c r="C65" s="60" t="str">
        <x:v>defense</x:v>
      </x:c>
      <x:c r="D65" s="60" t="str">
        <x:v>defense</x:v>
      </x:c>
      <x:c r="E65" s="60" t="str">
        <x:v>evaluation</x:v>
      </x:c>
      <x:c r="F65" s="60" t="str">
        <x:v>attack_bearing_defense_evaluation</x:v>
      </x:c>
      <x:c r="G65" s="60" t="str">
        <x:v>evaluates unauthorized access, impersonation, and malicious-memory poisoning; does not primarily introduce a new attack</x:v>
      </x:c>
      <x:c r="H65" s="60" t="str">
        <x:v>yes</x:v>
      </x:c>
      <x:c r="I65" s="60" t="str">
        <x:v>Unauthorized or impersonating member agent; malicious writer to shared memory.</x:v>
      </x:c>
      <x:c r="J65" s="60" t="str">
        <x:v>Request protected information, present false authority, or write poisoned content to shared memory.</x:v>
      </x:c>
      <x:c r="K65" s="60" t="str">
        <x:v>Agents and information are assigned hierarchical security labels; ThreatSieve and HierarCache are trusted enforcement components.</x:v>
      </x:c>
      <x:c r="L65" s="60" t="str">
        <x:v>Authority-aware message filtering and hierarchical memory management are tested against unauthorized requests, impersonation, and poisoning.</x:v>
      </x:c>
      <x:c r="M65" s="60" t="str">
        <x:v>Inter-agent communication; identity/authority metadata; shared memory.</x:v>
      </x:c>
      <x:c r="N65" s="60" t="str">
        <x:v>Cross-principal confidentiality and shared-state integrity failure.</x:v>
      </x:c>
      <x:c r="O65" s="60" t="str">
        <x:v>Unauthorized disclosure or downstream influence from poisoned memory in the evaluated scenarios.</x:v>
      </x:c>
    </x:row>
    <x:row r="66">
      <x:c r="A66" s="60" t="n">
        <x:v>65</x:v>
      </x:c>
      <x:c r="B66" s="60" t="str">
        <x:v>ebrahimi2025credibility</x:v>
      </x:c>
      <x:c r="C66" s="60" t="str">
        <x:v>defense</x:v>
      </x:c>
      <x:c r="D66" s="60" t="str">
        <x:v>defense</x:v>
      </x:c>
      <x:c r="E66" s="60" t="str">
        <x:v>evaluation; empirical robustness study</x:v>
      </x:c>
      <x:c r="F66" s="60" t="str">
        <x:v>attack_bearing_defense_evaluation</x:v>
      </x:c>
      <x:c r="G66" s="60" t="str">
        <x:v>evaluates adversarial and low-performing members but does not primarily propose an attack</x:v>
      </x:c>
      <x:c r="H66" s="60" t="str">
        <x:v>yes</x:v>
      </x:c>
      <x:c r="I66" s="60" t="str">
        <x:v>Adversarial or persistently unreliable member agents in iterative question answering.</x:v>
      </x:c>
      <x:c r="J66" s="60" t="str">
        <x:v>Submit misleading answers/contributions through the normal collaboration protocol.</x:v>
      </x:c>
      <x:c r="K66" s="60" t="str">
        <x:v>Agent identity persists across queries; past contribution quality can be scored; the credibility updater and aggregator are trusted.</x:v>
      </x:c>
      <x:c r="L66" s="60" t="str">
        <x:v>Historical credibility scores attenuate the influence of agents whose prior contributions were judged poor.</x:v>
      </x:c>
      <x:c r="M66" s="60" t="str">
        <x:v>Member contributions; identity/history state; collective aggregation.</x:v>
      </x:c>
      <x:c r="N66" s="60" t="str">
        <x:v>Collective decision-integrity failure under adversarial member influence.</x:v>
      </x:c>
      <x:c r="O66" s="60" t="str">
        <x:v>Reduced answer accuracy under adversarial populations and empirical recovery from credibility-weighted aggregation.</x:v>
      </x:c>
    </x:row>
    <x:row r="67">
      <x:c r="A67" s="60" t="n">
        <x:v>66</x:v>
      </x:c>
      <x:c r="B67" s="60" t="str">
        <x:v>tailor2025auditwhisper</x:v>
      </x:c>
      <x:c r="C67" s="60" t="str">
        <x:v>defense</x:v>
      </x:c>
      <x:c r="D67" s="60" t="str">
        <x:v>defense</x:v>
      </x:c>
      <x:c r="E67" s="60" t="str">
        <x:v>benchmark; evaluation; theoretical analysis</x:v>
      </x:c>
      <x:c r="F67" s="60" t="str">
        <x:v>attack_bearing_defense_benchmark</x:v>
      </x:c>
      <x:c r="G67" s="60" t="str">
        <x:v>instantiates/evaluates collusion channels drawn from several suites; primary novelty is auditing/detection</x:v>
      </x:c>
      <x:c r="H67" s="60" t="str">
        <x:v>yes</x:v>
      </x:c>
      <x:c r="I67" s="60" t="str">
        <x:v>Colluding member agents sharing a covert textual scheme.</x:v>
      </x:c>
      <x:c r="J67" s="60" t="str">
        <x:v>Encode coordination signals in ordinary messages and adapt behavior to the allowed channel.</x:v>
      </x:c>
      <x:c r="K67" s="60" t="str">
        <x:v>Auditor can observe transcripts/outcomes and perform paired interventions, paraphrasing, rate limits, or role permutations; some fairness analysis assumes subgroup labels.</x:v>
      </x:c>
      <x:c r="L67" s="60" t="str">
        <x:v>Paired-run KL and mutual-information diagnostics, permutation/watermark/fairness signals, and calibrated union testing detect or constrain collusion.</x:v>
      </x:c>
      <x:c r="M67" s="60" t="str">
        <x:v>Natural-language communication; auditor intervention; outcome/fairness signals.</x:v>
      </x:c>
      <x:c r="N67" s="60" t="str">
        <x:v>Oversight and collective-decision integrity failure through steganographic collusion.</x:v>
      </x:c>
      <x:c r="O67" s="60" t="str">
        <x:v>Detection power and false-positive-controlled auditing on ColludeBench and external collusion suites; not universal detectability.</x:v>
      </x:c>
    </x:row>
    <x:row r="68">
      <x:c r="A68" s="60" t="n">
        <x:v>67</x:v>
      </x:c>
      <x:c r="B68" s="60" t="str">
        <x:v>zou2025blocka2a</x:v>
      </x:c>
      <x:c r="C68" s="60" t="str">
        <x:v>defense</x:v>
      </x:c>
      <x:c r="D68" s="60" t="str">
        <x:v>defense</x:v>
      </x:c>
      <x:c r="E68" s="60" t="str">
        <x:v>protocol/system design; threat analysis; prototype evaluation</x:v>
      </x:c>
      <x:c r="F68" s="60" t="str">
        <x:v>attack_bearing_defense_system</x:v>
      </x:c>
      <x:c r="G68" s="60" t="str">
        <x:v>evaluates several attack classes under the proposed protocol; does not primarily introduce a new attack</x:v>
      </x:c>
      <x:c r="H68" s="60" t="str">
        <x:v>yes</x:v>
      </x:c>
      <x:c r="I68" s="60" t="str">
        <x:v>Byzantine or Sybil member, message/prompt tamperer, or compromised protocol participant.</x:v>
      </x:c>
      <x:c r="J68" s="60" t="str">
        <x:v>Spoof identity, equivocate, tamper with task messages/state, abuse delegated permissions, or submit adversarial prompts.</x:v>
      </x:c>
      <x:c r="K68" s="60" t="str">
        <x:v>All participating agents adopt DIDs, signatures, contracts, ledgers, policy oracles, and the Defense Orchestration Engine; ledger and cryptographic assumptions hold.</x:v>
      </x:c>
      <x:c r="L68" s="60" t="str">
        <x:v>Protocol-native identity, signed messaging, ledger provenance, context-aware smart-contract access control, reputation, revocation, and execution halting.</x:v>
      </x:c>
      <x:c r="M68" s="60" t="str">
        <x:v>Discovery/identity; A2A messages; task contracts; delegation; shared task state; incident-response control plane.</x:v>
      </x:c>
      <x:c r="N68" s="60" t="str">
        <x:v>Authentication, message/task integrity, authorization, provenance, and accountability failure.</x:v>
      </x:c>
      <x:c r="O68" s="60" t="str">
        <x:v>Prototype-level attack neutralization and sub-second overhead under the framework’s ledger and oracle assumptions.</x:v>
      </x:c>
    </x:row>
    <x:row r="69">
      <x:c r="A69" s="60" t="n">
        <x:v>68</x:v>
      </x:c>
      <x:c r="B69" s="60" t="str">
        <x:v>jo2025byzantinerobust</x:v>
      </x:c>
      <x:c r="C69" s="60" t="str">
        <x:v>defense</x:v>
      </x:c>
      <x:c r="D69" s="60" t="str">
        <x:v>defense</x:v>
      </x:c>
      <x:c r="E69" s="60" t="str">
        <x:v>theoretical analysis; empirical evaluation</x:v>
      </x:c>
      <x:c r="F69" s="60" t="str">
        <x:v>attack_bearing_defense_evaluation</x:v>
      </x:c>
      <x:c r="G69" s="60" t="str">
        <x:v>evaluates arbitrary Byzantine proposals/votes; primary novelty is DecentLLMs coordination</x:v>
      </x:c>
      <x:c r="H69" s="60" t="str">
        <x:v>yes</x:v>
      </x:c>
      <x:c r="I69" s="60" t="str">
        <x:v>Byzantine member agents among workers or evaluators.</x:v>
      </x:c>
      <x:c r="J69" s="60" t="str">
        <x:v>Submit arbitrary proposals/scores/votes and exploit leader dependence in baseline coordination.</x:v>
      </x:c>
      <x:c r="K69" s="60" t="str">
        <x:v>Synchronous authenticated communication, known participant set, and Byzantine fraction below the protocol’s stated bound.</x:v>
      </x:c>
      <x:c r="L69" s="60" t="str">
        <x:v>Leaderless concurrent proposal generation and Byzantine-robust evaluator aggregation/selective finalization.</x:v>
      </x:c>
      <x:c r="M69" s="60" t="str">
        <x:v>Proposal generation; evaluator scoring/ranking; voting/aggregation; coordination rounds.</x:v>
      </x:c>
      <x:c r="N69" s="60" t="str">
        <x:v>Collective decision integrity and coordination availability under Byzantine members.</x:v>
      </x:c>
      <x:c r="O69" s="60" t="str">
        <x:v>Empirical task-quality and latency/round robustness under varied Byzantine fractions; not a universal agreement theorem.</x:v>
      </x:c>
    </x:row>
    <x:row r="70">
      <x:c r="A70" s="60" t="n">
        <x:v>69</x:v>
      </x:c>
      <x:c r="B70" s="60" t="str">
        <x:v>wu2025cowpox</x:v>
      </x:c>
      <x:c r="C70" s="60" t="str">
        <x:v>defense</x:v>
      </x:c>
      <x:c r="D70" s="60" t="str">
        <x:v>defense</x:v>
      </x:c>
      <x:c r="E70" s="60" t="str">
        <x:v>theoretical analysis; evaluation; recovery study</x:v>
      </x:c>
      <x:c r="F70" s="60" t="str">
        <x:v>attack_bearing_defense_evaluation</x:v>
      </x:c>
      <x:c r="G70" s="60" t="str">
        <x:v>uses infectious VLM-agent attack as the evaluated threat; primary novelty is immunity/recovery</x:v>
      </x:c>
      <x:c r="H70" s="60" t="str">
        <x:v>yes</x:v>
      </x:c>
      <x:c r="I70" s="60" t="str">
        <x:v>External adversary seeding contagious multimodal jailbreak content.</x:v>
      </x:c>
      <x:c r="J70" s="60" t="str">
        <x:v>Introduce a malicious multimodal sample that enters one agent’s state and can be transmitted to others.</x:v>
      </x:c>
      <x:c r="K70" s="60" t="str">
        <x:v>Agents exchange or inherit state/content; defender can generate and distribute cure samples through population channels.</x:v>
      </x:c>
      <x:c r="L70" s="60" t="str">
        <x:v>Cure samples immunize agents before exposure and propagate distributed protection/recovery so defensive reproduction competes with infection.</x:v>
      </x:c>
      <x:c r="M70" s="60" t="str">
        <x:v>Multimodal input; local state/memory; agent-to-agent transmission; population topology.</x:v>
      </x:c>
      <x:c r="N70" s="60" t="str">
        <x:v>Compromise propagation and containment failure.</x:v>
      </x:c>
      <x:c r="O70" s="60" t="str">
        <x:v>Population infection, immunity, and recovery outcomes under the evaluated models/topologies, plus theoretical robustness guarantees under stated assumptions.</x:v>
      </x:c>
    </x:row>
    <x:row r="71">
      <x:c r="A71" s="60" t="n">
        <x:v>70</x:v>
      </x:c>
      <x:c r="B71" s="60" t="str">
        <x:v>li2025argus</x:v>
      </x:c>
      <x:c r="C71" s="60" t="str">
        <x:v>defense</x:v>
      </x:c>
      <x:c r="D71" s="60" t="str">
        <x:v>defense</x:v>
      </x:c>
      <x:c r="E71" s="60" t="str">
        <x:v>benchmark; evaluation</x:v>
      </x:c>
      <x:c r="F71" s="60" t="str">
        <x:v>attack_bearing_defense_benchmark</x:v>
      </x:c>
      <x:c r="G71" s="60" t="str">
        <x:v>defines/evaluates misinformation injection variants but primary contribution is MisinfoTask plus ARGUS</x:v>
      </x:c>
      <x:c r="H71" s="60" t="str">
        <x:v>yes</x:v>
      </x:c>
      <x:c r="I71" s="60" t="str">
        <x:v>Input-level or member-level misinformation injector.</x:v>
      </x:c>
      <x:c r="J71" s="60" t="str">
        <x:v>Insert persuasive false claims into messages that downstream agents consume.</x:v>
      </x:c>
      <x:c r="K71" s="60" t="str">
        <x:v>Task goal is available; a trusted LLM reviewer has sufficient knowledge/context to identify and rewrite false goal-relevant information.</x:v>
      </x:c>
      <x:c r="L71" s="60" t="str">
        <x:v>Goal-aware claim identification followed by rectification of messages before downstream use.</x:v>
      </x:c>
      <x:c r="M71" s="60" t="str">
        <x:v>Inter-agent messages; task-decomposition information flow; reviewer/rectification layer.</x:v>
      </x:c>
      <x:c r="N71" s="60" t="str">
        <x:v>Collective factual/task integrity failure from misinformation propagation.</x:v>
      </x:c>
      <x:c r="O71" s="60" t="str">
        <x:v>Reported reduction in misinformation toxicity and improvement in task success under tested injection settings.</x:v>
      </x:c>
    </x:row>
    <x:row r="72">
      <x:c r="A72" s="60" t="n">
        <x:v>71</x:v>
      </x:c>
      <x:c r="B72" s="60" t="str">
        <x:v>zhou2025guardian</x:v>
      </x:c>
      <x:c r="C72" s="60" t="str">
        <x:v>defense</x:v>
      </x:c>
      <x:c r="D72" s="60" t="str">
        <x:v>defense</x:v>
      </x:c>
      <x:c r="E72" s="60" t="str">
        <x:v>evaluation; graph anomaly detection</x:v>
      </x:c>
      <x:c r="F72" s="60" t="str">
        <x:v>attack_bearing_defense_evaluation</x:v>
      </x:c>
      <x:c r="G72" s="60" t="str">
        <x:v>evaluates error/hallucination injection and propagation; primary novelty is unsupervised temporal graph defense</x:v>
      </x:c>
      <x:c r="H72" s="60" t="str">
        <x:v>yes</x:v>
      </x:c>
      <x:c r="I72" s="60" t="str">
        <x:v>Compromised communicating member agents or injected erroneous messages.</x:v>
      </x:c>
      <x:c r="J72" s="60" t="str">
        <x:v>Send adversarial or erroneous protocol-valid messages that affect later agents.</x:v>
      </x:c>
      <x:c r="K72" s="60" t="str">
        <x:v>Monitor observes agent identities, timestamped messages, node/edge attributes, and can prune communication edges.</x:v>
      </x:c>
      <x:c r="L72" s="60" t="str">
        <x:v>Temporal attributed-graph reconstruction, node/edge anomaly scoring, graph abstraction, and edge pruning.</x:v>
      </x:c>
      <x:c r="M72" s="60" t="str">
        <x:v>Multi-round messages; temporal interaction graph; topology/edge control.</x:v>
      </x:c>
      <x:c r="N72" s="60" t="str">
        <x:v>Propagation containment and collective decision-integrity failure.</x:v>
      </x:c>
      <x:c r="O72" s="60" t="str">
        <x:v>Benchmark accuracy degradation under injected communication and empirical detection/recovery after pruning.</x:v>
      </x:c>
    </x:row>
    <x:row r="73">
      <x:c r="A73" s="60" t="n">
        <x:v>72</x:v>
      </x:c>
      <x:c r="B73" s="60" t="str">
        <x:v>mao2025ibgp</x:v>
      </x:c>
      <x:c r="C73" s="60" t="str">
        <x:v>defense</x:v>
      </x:c>
      <x:c r="D73" s="60" t="str">
        <x:v>defense</x:v>
      </x:c>
      <x:c r="E73" s="60" t="str">
        <x:v>formalization; evaluation; extended abstract</x:v>
      </x:c>
      <x:c r="F73" s="60" t="str">
        <x:v>attack_bearing_defense_formalization</x:v>
      </x:c>
      <x:c r="G73" s="60" t="str">
        <x:v>models communication attackers that send false messages; primary contribution is a relaxed coordination problem/protocol</x:v>
      </x:c>
      <x:c r="H73" s="60" t="str">
        <x:v>yes</x:v>
      </x:c>
      <x:c r="I73" s="60" t="str">
        <x:v>Malicious communicating member agents.</x:v>
      </x:c>
      <x:c r="J73" s="60" t="str">
        <x:v>Send false or inconsistent messages during multi-round broadcast.</x:v>
      </x:c>
      <x:c r="K73" s="60" t="str">
        <x:v>The application accepts IBGP’s k-of-n partial coordination/consistency definition; a global randomizer controls hidden stopping time; protocol and honest local observations are trusted.</x:v>
      </x:c>
      <x:c r="L73" s="60" t="str">
        <x:v>Redefines global BGP agreement/consistency into partial k-threshold coordination and applies a multi-round prompt/protocol.</x:v>
      </x:c>
      <x:c r="M73" s="60" t="str">
        <x:v>Broadcast messages; local observations; partial coordination rule.</x:v>
      </x:c>
      <x:c r="N73" s="60" t="str">
        <x:v>Local coordination integrity/mis-coordination under malicious members.</x:v>
      </x:c>
      <x:c r="O73" s="60" t="str">
        <x:v>Task/environment robustness percentages under the paper’s IBGP predicate, not global consensus accuracy.</x:v>
      </x:c>
    </x:row>
    <x:row r="74">
      <x:c r="A74" s="60" t="n">
        <x:v>73</x:v>
      </x:c>
      <x:c r="B74" s="60" t="str">
        <x:v>cui2025maris</x:v>
      </x:c>
      <x:c r="C74" s="60" t="str">
        <x:v>defense</x:v>
      </x:c>
      <x:c r="D74" s="60" t="str">
        <x:v>defense</x:v>
      </x:c>
      <x:c r="E74" s="60" t="str">
        <x:v>formal analysis; system/prototype evaluation</x:v>
      </x:c>
      <x:c r="F74" s="60" t="str">
        <x:v>attack_bearing_defense_system</x:v>
      </x:c>
      <x:c r="G74" s="60" t="str">
        <x:v>evaluates eavesdropping/prompt-injection leakage scenarios; primary novelty is verifiable flow enforcement</x:v>
      </x:c>
      <x:c r="H74" s="60" t="str">
        <x:v>yes</x:v>
      </x:c>
      <x:c r="I74" s="60" t="str">
        <x:v>Eavesdropper, injected instruction source, or over-privileged/compromised agent causing unauthorized data flow.</x:v>
      </x:c>
      <x:c r="J74" s="60" t="str">
        <x:v>Elicit, forward, or route labeled sensitive content through messages, LLM calls, tools, or users.</x:v>
      </x:c>
      <x:c r="K74" s="60" t="str">
        <x:v>Complete mediation through embedded reference monitors, correct policy specification/data labels, known principal identities, and registered tool/message paths.</x:v>
      </x:c>
      <x:c r="L74" s="60" t="str">
        <x:v>Policy language plus embedded reference monitors and formal verification enforce fine-grained allowed flows.</x:v>
      </x:c>
      <x:c r="M74" s="60" t="str">
        <x:v>Agent messages; LLM endpoints; tool calls; external users; labeled data flow.</x:v>
      </x:c>
      <x:c r="N74" s="60" t="str">
        <x:v>Cross-principal confidentiality and contextual-integrity violation.</x:v>
      </x:c>
      <x:c r="O74" s="60" t="str">
        <x:v>Blocked sensitive-data leakage in prototype scenarios while retaining task success and incurring measured overhead.</x:v>
      </x:c>
    </x:row>
    <x:row r="75">
      <x:c r="A75" s="60" t="n">
        <x:v>74</x:v>
      </x:c>
      <x:c r="B75" s="60" t="str">
        <x:v>he2025atrust</x:v>
      </x:c>
      <x:c r="C75" s="60" t="str">
        <x:v>defense</x:v>
      </x:c>
      <x:c r="D75" s="60" t="str">
        <x:v>defense</x:v>
      </x:c>
      <x:c r="E75" s="60" t="str">
        <x:v>evaluation; trust scoring</x:v>
      </x:c>
      <x:c r="F75" s="60" t="str">
        <x:v>attack_bearing_defense_evaluation</x:v>
      </x:c>
      <x:c r="G75" s="60" t="str">
        <x:v>evaluates several untrustworthy-message categories; no single new attack mechanism is primary</x:v>
      </x:c>
      <x:c r="H75" s="60" t="str">
        <x:v>yes</x:v>
      </x:c>
      <x:c r="I75" s="60" t="str">
        <x:v>Unreliable, biased, deceptive, toxic, irrelevant, or low-quality peer agents.</x:v>
      </x:c>
      <x:c r="J75" s="60" t="str">
        <x:v>Send protocol-valid messages that vary along six trust dimensions.</x:v>
      </x:c>
      <x:c r="K75" s="60" t="str">
        <x:v>Message content, sender identity, and model attention/internal trust features are available; thresholds generalize across models/tasks.</x:v>
      </x:c>
      <x:c r="L75" s="60" t="str">
        <x:v>Attention-derived trust scores support message-level and agent-level filtering/down-weighting.</x:v>
      </x:c>
      <x:c r="M75" s="60" t="str">
        <x:v>Incoming peer messages; aggregation; model attention/internal signals; identity history.</x:v>
      </x:c>
      <x:c r="N75" s="60" t="str">
        <x:v>Collective decision-integrity degradation from untrustworthy contributions.</x:v>
      </x:c>
      <x:c r="O75" s="60" t="str">
        <x:v>Improved benchmark robustness/task accuracy across tested message categories.</x:v>
      </x:c>
    </x:row>
    <x:row r="76">
      <x:c r="A76" s="60" t="n">
        <x:v>75</x:v>
      </x:c>
      <x:c r="B76" s="60" t="str">
        <x:v>rabieinejad2026alteda</x:v>
      </x:c>
      <x:c r="C76" s="60" t="str">
        <x:v>defense</x:v>
      </x:c>
      <x:c r="D76" s="60" t="str">
        <x:v>defense</x:v>
      </x:c>
      <x:c r="E76" s="60" t="str">
        <x:v>evaluation; threat attribution; telemetry system</x:v>
      </x:c>
      <x:c r="F76" s="60" t="str">
        <x:v>attack_bearing_defense_evaluation</x:v>
      </x:c>
      <x:c r="G76" s="60" t="str">
        <x:v>red-teams a target workflow to generate attack traces; primary novelty is log-based detection/attribution</x:v>
      </x:c>
      <x:c r="H76" s="60" t="str">
        <x:v>yes</x:v>
      </x:c>
      <x:c r="I76" s="60" t="str">
        <x:v>External or compromised-agent attacker whose actions produce application/network/host events.</x:v>
      </x:c>
      <x:c r="J76" s="60" t="str">
        <x:v>Prompt hijacking, retrieval poisoning, tool-use redirection, and related cross-agent actions represented in red-team traces.</x:v>
      </x:c>
      <x:c r="K76" s="60" t="str">
        <x:v>Synchronized, trustworthy application/network/system logs; stable agent attribution and clocks; graph construction and detector are trusted.</x:v>
      </x:c>
      <x:c r="L76" s="60" t="str">
        <x:v>Convert each execution into an attributed directed multigraph; graph-level classification plus partial-trace early detection and SHAP-based attribution.</x:v>
      </x:c>
      <x:c r="M76" s="60" t="str">
        <x:v>Application events; network events; operating-system events; global execution trace.</x:v>
      </x:c>
      <x:c r="N76" s="60" t="str">
        <x:v>Detection/attribution failure when distributed attack evidence is fragmented across telemetry layers.</x:v>
      </x:c>
      <x:c r="O76" s="60" t="str">
        <x:v>End-to-end detection and early high-trust alerts around 40% trace progress in the authors’ red-teamed environment.</x:v>
      </x:c>
    </x:row>
    <x:row r="77">
      <x:c r="A77" s="60" t="n">
        <x:v>76</x:v>
      </x:c>
      <x:c r="B77" s="60" t="str">
        <x:v>miao2026blindguard</x:v>
      </x:c>
      <x:c r="C77" s="60" t="str">
        <x:v>defense</x:v>
      </x:c>
      <x:c r="D77" s="60" t="str">
        <x:v>defense</x:v>
      </x:c>
      <x:c r="E77" s="60" t="str">
        <x:v>evaluation; unsupervised graph anomaly detection</x:v>
      </x:c>
      <x:c r="F77" s="60" t="str">
        <x:v>attack_bearing_defense_evaluation</x:v>
      </x:c>
      <x:c r="G77" s="60" t="str">
        <x:v>evaluates direct-prompt, tool-output, and memory attacks; primary contribution is unsupervised defense</x:v>
      </x:c>
      <x:c r="H77" s="60" t="str">
        <x:v>yes</x:v>
      </x:c>
      <x:c r="I77" s="60" t="str">
        <x:v>Three compromised member agents in the main evaluation.</x:v>
      </x:c>
      <x:c r="J77" s="60" t="str">
        <x:v>Alter messages through prompt attack, malicious tool return, or poisoned memory.</x:v>
      </x:c>
      <x:c r="K77" s="60" t="str">
        <x:v>Normal-behavior traces are available for training; graph identities/responses are visible; defender can prune bidirectional edges.</x:v>
      </x:c>
      <x:c r="L77" s="60" t="str">
        <x:v>Hierarchical agent encoder plus synthetic feature corruption/contrastive anomaly scoring and topology pruning.</x:v>
      </x:c>
      <x:c r="M77" s="60" t="str">
        <x:v>Prompts; tool outputs; memory; agent messages; communication graph.</x:v>
      </x:c>
      <x:c r="N77" s="60" t="str">
        <x:v>Propagation containment and collective decision-integrity failure.</x:v>
      </x:c>
      <x:c r="O77" s="60" t="str">
        <x:v>Post-attack collective answer degradation, malicious-agent AUC, and post-pruning ASR/accuracy in controlled settings.</x:v>
      </x:c>
    </x:row>
    <x:row r="78">
      <x:c r="A78" s="60" t="n">
        <x:v>77</x:v>
      </x:c>
      <x:c r="B78" s="60" t="str">
        <x:v>pan2026xgguard</x:v>
      </x:c>
      <x:c r="C78" s="60" t="str">
        <x:v>defense</x:v>
      </x:c>
      <x:c r="D78" s="60" t="str">
        <x:v>defense</x:v>
      </x:c>
      <x:c r="E78" s="60" t="str">
        <x:v>evaluation; explainable graph anomaly detection</x:v>
      </x:c>
      <x:c r="F78" s="60" t="str">
        <x:v>attack_bearing_defense_evaluation</x:v>
      </x:c>
      <x:c r="G78" s="60" t="str">
        <x:v>evaluates prompt, tool, and memory poisoning; primary contribution is XG-Guard</x:v>
      </x:c>
      <x:c r="H78" s="60" t="str">
        <x:v>yes</x:v>
      </x:c>
      <x:c r="I78" s="60" t="str">
        <x:v>Compromised member agents.</x:v>
      </x:c>
      <x:c r="J78" s="60" t="str">
        <x:v>Produce malicious responses after prompt, tool-output, or memory poisoning.</x:v>
      </x:c>
      <x:c r="K78" s="60" t="str">
        <x:v>Agent responses, identities, token/sentence representations, graph neighborhoods, and node-removal authority are available.</x:v>
      </x:c>
      <x:c r="L78" s="60" t="str">
        <x:v>Bi-level token/sentence encoding, theme-aware graph anomaly detection, explanatory token attribution, and topology repair.</x:v>
      </x:c>
      <x:c r="M78" s="60" t="str">
        <x:v>Agent response text; graph neighborhoods; prompts; tools; memory; communication topology.</x:v>
      </x:c>
      <x:c r="N78" s="60" t="str">
        <x:v>Propagation containment and collective decision-integrity failure.</x:v>
      </x:c>
      <x:c r="O78" s="60" t="str">
        <x:v>Detection AUROC, lower post-defense ASR, answer accuracy, and explanation quality in tested settings.</x:v>
      </x:c>
    </x:row>
    <x:row r="79">
      <x:c r="A79" s="60" t="n">
        <x:v>78</x:v>
      </x:c>
      <x:c r="B79" s="60" t="str">
        <x:v>tapwal2026prism</x:v>
      </x:c>
      <x:c r="C79" s="60" t="str">
        <x:v>defense</x:v>
      </x:c>
      <x:c r="D79" s="60" t="str">
        <x:v>defense</x:v>
      </x:c>
      <x:c r="E79" s="60" t="str">
        <x:v>benchmark; evaluation; sequential risk modeling</x:v>
      </x:c>
      <x:c r="F79" s="60" t="str">
        <x:v>attack_bearing_defense_benchmark</x:v>
      </x:c>
      <x:c r="G79" s="60" t="str">
        <x:v>evaluates 13 attack/leakage categories; primary novelty is generation-time defense</x:v>
      </x:c>
      <x:c r="H79" s="60" t="str">
        <x:v>yes</x:v>
      </x:c>
      <x:c r="I79" s="60" t="str">
        <x:v>External or contextual source inducing credential propagation; leakage can also be accidental.</x:v>
      </x:c>
      <x:c r="J79" s="60" t="str">
        <x:v>Place or elicit credential fragments in shared context so downstream agents reproduce them under multiple pressure levels.</x:v>
      </x:c>
      <x:c r="K79" s="60" t="str">
        <x:v>Generated tokens, logits/entropy and 16 lexical/structural/information-theoretic/behavioral/contextual signals are observable during decoding; intervention can mask or stop generation.</x:v>
      </x:c>
      <x:c r="L79" s="60" t="str">
        <x:v>Sequential token-level risk accumulation with green/yellow/red zones and pre-completion stopping/masking.</x:v>
      </x:c>
      <x:c r="M79" s="60" t="str">
        <x:v>Shared context; downstream generation; token stream; inter-agent message boundary.</x:v>
      </x:c>
      <x:c r="N79" s="60" t="str">
        <x:v>Cross-principal confidentiality failure through propagation amplification.</x:v>
      </x:c>
      <x:c r="O79" s="60" t="str">
        <x:v>On the authors’ 2,000-task benchmark: F1 0.832, precision 1.000, recall 0.712, 0.0% observed task-level leakage, and utility 0.893.</x:v>
      </x:c>
    </x:row>
    <x:row r="80">
      <x:c r="A80" s="60" t="n">
        <x:v>79</x:v>
      </x:c>
      <x:c r="B80" s="60" t="str">
        <x:v>darabi2026bioautonomic</x:v>
      </x:c>
      <x:c r="C80" s="60" t="str">
        <x:v>defense</x:v>
      </x:c>
      <x:c r="D80" s="60" t="str">
        <x:v>defense</x:v>
      </x:c>
      <x:c r="E80" s="60" t="str">
        <x:v>evaluation; architecture; resilience study; attack-bearing evaluation</x:v>
      </x:c>
      <x:c r="F80" s="60" t="str">
        <x:v>confirmed_attack_bearing</x:v>
      </x:c>
      <x:c r="G80" s="60" t="str">
        <x:v>evaluates compromised-member and control-flow-hijacking scenarios; does not introduce one canonical attack primitive</x:v>
      </x:c>
      <x:c r="H80" s="60" t="str">
        <x:v>yes, claim-level only for explicit malicious-member/control-flow conditions</x:v>
      </x:c>
      <x:c r="I80" s="60" t="str">
        <x:v>compromised member agents in a decentralized ambient-agent population</x:v>
      </x:c>
      <x:c r="J80" s="60" t="str">
        <x:v>manipulate local behavior and inter-agent control flow; produce anomalous contributions</x:v>
      </x:c>
      <x:c r="K80" s="60" t="str">
        <x:v>decentralized peers exchange trust evidence through gossip; local monitors and federated adaptation remain available; enough honest evidence dominates</x:v>
      </x:c>
      <x:c r="L80" s="60" t="str">
        <x:v>compromised behavior propagates or influences peers; defense fuses local MAPE-K/DCA anomaly signals, probabilistic trust, gossip, federated learning, and encrypted aggregation</x:v>
      </x:c>
      <x:c r="M80" s="60" t="str">
        <x:v>agent-local behavior; peer communication; distributed trust evidence; control flow</x:v>
      </x:c>
      <x:c r="N80" s="60" t="str">
        <x:v>distributed collaboration integrity and resilience failure</x:v>
      </x:c>
      <x:c r="O80" s="60" t="str">
        <x:v>malicious-agent acceptance, control-flow hijacking, degraded collaboration, and loss of continued operation</x:v>
      </x:c>
    </x:row>
    <x:row r="81">
      <x:c r="A81" s="60" t="n">
        <x:v>80</x:v>
      </x:c>
      <x:c r="B81" s="60" t="str">
        <x:v>zhou2026resmas</x:v>
      </x:c>
      <x:c r="C81" s="60" t="str">
        <x:v>defense</x:v>
      </x:c>
      <x:c r="D81" s="60" t="str">
        <x:v>defense</x:v>
      </x:c>
      <x:c r="E81" s="60" t="str">
        <x:v>evaluation; architecture optimization; reliability/resilience study</x:v>
      </x:c>
      <x:c r="F81" s="60" t="str">
        <x:v>adjacent_fault_evidence</x:v>
      </x:c>
      <x:c r="G81" s="60" t="str">
        <x:v>evaluates perturbations/faults; not a canonical adversarial attack proposal</x:v>
      </x:c>
      <x:c r="H81" s="60" t="str">
        <x:v>no for attack corpus; yes for defense/design coverage</x:v>
      </x:c>
      <x:c r="I81" s="60" t="str">
        <x:v>no fixed attacker in the core formulation; selected agents are perturbed or fail</x:v>
      </x:c>
      <x:c r="J81" s="60" t="str">
        <x:v>not applicable as a unified adversary model</x:v>
      </x:c>
      <x:c r="K81" s="60" t="str">
        <x:v>defender can redesign topology and prompts before deployment; resilience reward model reflects target perturbations</x:v>
      </x:c>
      <x:c r="L81" s="60" t="str">
        <x:v>topology generator and topology-aware prompt optimization increase tolerance to modeled failures</x:v>
      </x:c>
      <x:c r="M81" s="60" t="str">
        <x:v>agent outputs and communication topology under perturbation</x:v>
      </x:c>
      <x:c r="N81" s="60" t="str">
        <x:v>collective task robustness/reliability failure under agent perturbation</x:v>
      </x:c>
      <x:c r="O81" s="60" t="str">
        <x:v>accuracy degradation and reduced resilience under failures</x:v>
      </x:c>
    </x:row>
    <x:row r="82">
      <x:c r="A82" s="60" t="n">
        <x:v>81</x:v>
      </x:c>
      <x:c r="B82" s="60" t="str">
        <x:v>shi2026saiguard</x:v>
      </x:c>
      <x:c r="C82" s="60" t="str">
        <x:v>defense</x:v>
      </x:c>
      <x:c r="D82" s="60" t="str">
        <x:v>defense</x:v>
      </x:c>
      <x:c r="E82" s="60" t="str">
        <x:v>evaluation; proactive message-interception system</x:v>
      </x:c>
      <x:c r="F82" s="60" t="str">
        <x:v>confirmed_attack_bearing_preprint</x:v>
      </x:c>
      <x:c r="G82" s="60" t="str">
        <x:v>evaluates established malicious-message/propagation attacks; does not need separate attack taxonomy entry</x:v>
      </x:c>
      <x:c r="H82" s="60" t="str">
        <x:v>yes for evaluated attack conditions and observer assumptions</x:v>
      </x:c>
      <x:c r="I82" s="60" t="str">
        <x:v>malicious member agent sending harmful protocol-valid messages</x:v>
      </x:c>
      <x:c r="J82" s="60" t="str">
        <x:v>transmit messages whose downstream state effects appear plausible</x:v>
      </x:c>
      <x:c r="K82" s="60" t="str">
        <x:v>defender observes graph, recent state, and candidate message; learned simulator approximates benign state transitions</x:v>
      </x:c>
      <x:c r="L82" s="60" t="str">
        <x:v>counterfactual simulation predicts local/global state change and intercepts messages whose reconstruction deviates from benign dynamics</x:v>
      </x:c>
      <x:c r="M82" s="60" t="str">
        <x:v>inter-agent messages; propagation paths; communication state</x:v>
      </x:c>
      <x:c r="N82" s="60" t="str">
        <x:v>collective decision-integrity and propagation-containment failure</x:v>
      </x:c>
      <x:c r="O82" s="60" t="str">
        <x:v>harmful state changes and degraded collective answers</x:v>
      </x:c>
    </x:row>
    <x:row r="83">
      <x:c r="A83" s="60" t="n">
        <x:v>82</x:v>
      </x:c>
      <x:c r="B83" s="60" t="str">
        <x:v>feng2026sentinelnet</x:v>
      </x:c>
      <x:c r="C83" s="60" t="str">
        <x:v>defense</x:v>
      </x:c>
      <x:c r="D83" s="60" t="str">
        <x:v>defense</x:v>
      </x:c>
      <x:c r="E83" s="60" t="str">
        <x:v>evaluation; decentralized topology intervention</x:v>
      </x:c>
      <x:c r="F83" s="60" t="str">
        <x:v>confirmed_attack_bearing</x:v>
      </x:c>
      <x:c r="G83" s="60" t="str">
        <x:v>evaluates malicious-agent debate trajectories; not an attack proposal</x:v>
      </x:c>
      <x:c r="H83" s="60" t="str">
        <x:v>yes for evaluated attack patterns and local observer contract</x:v>
      </x:c>
      <x:c r="I83" s="60" t="str">
        <x:v>malicious participant agents in decentralized debate</x:v>
      </x:c>
      <x:c r="J83" s="60" t="str">
        <x:v>send manipulative messages through legitimate peer channels</x:v>
      </x:c>
      <x:c r="K83" s="60" t="str">
        <x:v>agents have persistent neighbor identities and local histories; contrastive training attacks represent deployment attacks; enough honest connectivity survives pruning</x:v>
      </x:c>
      <x:c r="L83" s="60" t="str">
        <x:v>credit-based local detector ranks neighbors and removes bottom-k peers to suppress malicious communication</x:v>
      </x:c>
      <x:c r="M83" s="60" t="str">
        <x:v>peer messages; local neighbor topology; member influence</x:v>
      </x:c>
      <x:c r="N83" s="60" t="str">
        <x:v>collective decision-integrity failure</x:v>
      </x:c>
      <x:c r="O83" s="60" t="str">
        <x:v>malicious-agent influence, degraded group accuracy, and communication contamination</x:v>
      </x:c>
    </x:row>
    <x:row r="84">
      <x:c r="A84" s="60" t="n">
        <x:v>83</x:v>
      </x:c>
      <x:c r="B84" s="60" t="str">
        <x:v>huang2026toposhield</x:v>
      </x:c>
      <x:c r="C84" s="60" t="str">
        <x:v>defense</x:v>
      </x:c>
      <x:c r="D84" s="60" t="str">
        <x:v>defense</x:v>
      </x:c>
      <x:c r="E84" s="60" t="str">
        <x:v>evaluation; dynamic topology control</x:v>
      </x:c>
      <x:c r="F84" s="60" t="str">
        <x:v>confirmed_attack_bearing</x:v>
      </x:c>
      <x:c r="G84" s="60" t="str">
        <x:v>evaluates misinformation/malicious-injection propagation; does not introduce the primary attack primitive</x:v>
      </x:c>
      <x:c r="H84" s="60" t="str">
        <x:v>yes for attack placement, graph assumptions, and propagation metrics</x:v>
      </x:c>
      <x:c r="I84" s="60" t="str">
        <x:v>malicious member agents injecting misinformation</x:v>
      </x:c>
      <x:c r="J84" s="60" t="str">
        <x:v>send persuasive malicious messages along allowed edges</x:v>
      </x:c>
      <x:c r="K84" s="60" t="str">
        <x:v>global temporal graph and messages are visible; defender can prune edges and isolate communities</x:v>
      </x:c>
      <x:c r="L84" s="60" t="str">
        <x:v>spatio-temporal GNN estimates node risk entropy and edge attack conductivity, followed by edge correction/pruning and community isolation</x:v>
      </x:c>
      <x:c r="M84" s="60" t="str">
        <x:v>inter-agent messages; temporal graph; communities</x:v>
      </x:c>
      <x:c r="N84" s="60" t="str">
        <x:v>propagation containment and collective decision-integrity failure</x:v>
      </x:c>
      <x:c r="O84" s="60" t="str">
        <x:v>toxicity/malicious influence spreads and group utility degrades</x:v>
      </x:c>
    </x:row>
    <x:row r="85">
      <x:c r="A85" s="60" t="n">
        <x:v>84</x:v>
      </x:c>
      <x:c r="B85" s="60" t="str">
        <x:v>juneja2025magpie</x:v>
      </x:c>
      <x:c r="C85" s="60" t="str">
        <x:v>evaluation</x:v>
      </x:c>
      <x:c r="D85" s="60" t="str">
        <x:v>benchmark</x:v>
      </x:c>
      <x:c r="E85" s="60" t="str">
        <x:v>evaluation; privacy measurement study</x:v>
      </x:c>
      <x:c r="F85" s="60" t="str">
        <x:v>nonadversarial_failure_evidence</x:v>
      </x:c>
      <x:c r="G85" s="60" t="str">
        <x:v>does not introduce a canonical attack; manipulation is an evaluation condition</x:v>
      </x:c>
      <x:c r="H85" s="60" t="str">
        <x:v>no for attack taxonomy; yes for privacy-evaluation contract</x:v>
      </x:c>
      <x:c r="I85" s="60" t="str">
        <x:v>none required; some conditions introduce manipulation pressure</x:v>
      </x:c>
      <x:c r="J85" s="60" t="str">
        <x:v>pressure agents to disclose sensitive items through ordinary collaboration</x:v>
      </x:c>
      <x:c r="K85" s="60" t="str">
        <x:v>benchmark contextual norms and recipient roles define allowed/prohibited disclosure; agents need some private information to solve tasks</x:v>
      </x:c>
      <x:c r="L85" s="60" t="str">
        <x:v>over-sharing, manipulation, and role-relative contextual privacy failure during collaboration</x:v>
      </x:c>
      <x:c r="M85" s="60" t="str">
        <x:v>role prompts; inter-agent messages; task context</x:v>
      </x:c>
      <x:c r="N85" s="60" t="str">
        <x:v>cross-principal confidentiality and contextual-integrity failure</x:v>
      </x:c>
      <x:c r="O85" s="60" t="str">
        <x:v>sensitive-item disclosure, manipulation/power-seeking, and incomplete collaboration</x:v>
      </x:c>
    </x:row>
    <x:row r="86">
      <x:c r="A86" s="60" t="n">
        <x:v>85</x:v>
      </x:c>
      <x:c r="B86" s="60" t="str">
        <x:v>chen2025medsentry</x:v>
      </x:c>
      <x:c r="C86" s="60" t="str">
        <x:v>evaluation</x:v>
      </x:c>
      <x:c r="D86" s="60" t="str">
        <x:v>benchmark</x:v>
      </x:c>
      <x:c r="E86" s="60" t="str">
        <x:v>evaluation; attack; defense</x:v>
      </x:c>
      <x:c r="F86" s="60" t="str">
        <x:v>confirmed_attack_bearing_preprint</x:v>
      </x:c>
      <x:c r="G86" s="60" t="str">
        <x:v>introduces dark-personality insider condition and evaluates topology effects</x:v>
      </x:c>
      <x:c r="H86" s="60" t="str">
        <x:v>yes</x:v>
      </x:c>
      <x:c r="I86" s="60" t="str">
        <x:v>one compromised insider member</x:v>
      </x:c>
      <x:c r="J86" s="60" t="str">
        <x:v>participate through ordinary medical deliberation messages while concealing harmful intent</x:v>
      </x:c>
      <x:c r="K86" s="60" t="str">
        <x:v>five-agent team; benchmark harmful prompts; evaluator and enforcement agent trusted</x:v>
      </x:c>
      <x:c r="L86" s="60" t="str">
        <x:v>dark-personality role induces harmful guidance that propagates or is aggregated</x:v>
      </x:c>
      <x:c r="M86" s="60" t="str">
        <x:v>member role prompt; medical deliberation messages; topology; aggregation</x:v>
      </x:c>
      <x:c r="N86" s="60" t="str">
        <x:v>collective medical decision-integrity and safety failure</x:v>
      </x:c>
      <x:c r="O86" s="60" t="str">
        <x:v>unsafe medical advice despite honest agents</x:v>
      </x:c>
    </x:row>
    <x:row r="87">
      <x:c r="A87" s="60" t="n">
        <x:v>86</x:v>
      </x:c>
      <x:c r="B87" s="60" t="str">
        <x:v>an2026aciarena</x:v>
      </x:c>
      <x:c r="C87" s="60" t="str">
        <x:v>evaluation</x:v>
      </x:c>
      <x:c r="D87" s="60" t="str">
        <x:v>benchmark</x:v>
      </x:c>
      <x:c r="E87" s="60" t="str">
        <x:v>evaluation; attack suite; defense evaluation</x:v>
      </x:c>
      <x:c r="F87" s="60" t="str">
        <x:v>confirmed_attack_bearing</x:v>
      </x:c>
      <x:c r="G87" s="60" t="str">
        <x:v>formalizes/evaluates attack surfaces and objectives rather than one new attack primitive</x:v>
      </x:c>
      <x:c r="H87" s="60" t="str">
        <x:v>yes, split by surface and objective</x:v>
      </x:c>
      <x:c r="I87" s="60" t="str">
        <x:v>external-input adversary, malicious/compromised agent profile, or on-path message poisoner depending on scenario</x:v>
      </x:c>
      <x:c r="J87" s="60" t="str">
        <x:v>inject via external inputs, agent profiles, or inter-agent messages to hijack, disrupt, or exfiltrate</x:v>
      </x:c>
      <x:c r="K87" s="60" t="str">
        <x:v>six supported MAS implementations and benchmark-defined access for each threat scenario</x:v>
      </x:c>
      <x:c r="L87" s="60" t="str">
        <x:v>agent cascading injection propagates through trusted communication/role relationships</x:v>
      </x:c>
      <x:c r="M87" s="60" t="str">
        <x:v>external input; agent profile; inter-agent message</x:v>
      </x:c>
      <x:c r="N87" s="60" t="str">
        <x:v>instruction integrity, availability, or confidentiality failure, claim-specific</x:v>
      </x:c>
      <x:c r="O87" s="60" t="str">
        <x:v>workflow hijacking, task disruption, information exfiltration, and propagation</x:v>
      </x:c>
    </x:row>
    <x:row r="88">
      <x:c r="A88" s="60" t="n">
        <x:v>87</x:v>
      </x:c>
      <x:c r="B88" s="60" t="str">
        <x:v>elyagoubi2026agentleak</x:v>
      </x:c>
      <x:c r="C88" s="60" t="str">
        <x:v>evaluation</x:v>
      </x:c>
      <x:c r="D88" s="60" t="str">
        <x:v>benchmark</x:v>
      </x:c>
      <x:c r="E88" s="60" t="str">
        <x:v>evaluation; attack taxonomy; proof-of-concept defense evaluation</x:v>
      </x:c>
      <x:c r="F88" s="60" t="str">
        <x:v>confirmed_attack_bearing</x:v>
      </x:c>
      <x:c r="G88" s="60" t="str">
        <x:v>evaluates 32 attack classes and baseline over-disclosure; primary contribution remains benchmark</x:v>
      </x:c>
      <x:c r="H88" s="60" t="str">
        <x:v>yes, with per-channel and per-family records</x:v>
      </x:c>
      <x:c r="I88" s="60" t="str">
        <x:v>varies by attack family; over-disclosure also occurs without a strategic attacker</x:v>
      </x:c>
      <x:c r="J88" s="60" t="str">
        <x:v>prompt/instruction, tool, memory/persistence, or multi-agent coordination manipulations</x:v>
      </x:c>
      <x:c r="K88" s="60" t="str">
        <x:v>instrumented coordinator-worker framework, contextual privacy labels, seven channel definitions</x:v>
      </x:c>
      <x:c r="L88" s="60" t="str">
        <x:v>sensitive context is transmitted, retained, or passed to tools through internal coordination channels</x:v>
      </x:c>
      <x:c r="M88" s="60" t="str">
        <x:v>final output; inter-agent messages; reasoning/context; tool input/output; shared memory; logs; artifacts</x:v>
      </x:c>
      <x:c r="N88" s="60" t="str">
        <x:v>cross-channel confidentiality and data-minimization failure</x:v>
      </x:c>
      <x:c r="O88" s="60" t="str">
        <x:v>hidden internal leakage and increased total exposure despite cleaner final outputs</x:v>
      </x:c>
    </x:row>
    <x:row r="89">
      <x:c r="A89" s="60" t="n">
        <x:v>88</x:v>
      </x:c>
      <x:c r="B89" s="60" t="str">
        <x:v>nother2026badacts</x:v>
      </x:c>
      <x:c r="C89" s="60" t="str">
        <x:v>evaluation</x:v>
      </x:c>
      <x:c r="D89" s="60" t="str">
        <x:v>benchmark</x:v>
      </x:c>
      <x:c r="E89" s="60" t="str">
        <x:v>evaluation; attack suite; defense evaluation</x:v>
      </x:c>
      <x:c r="F89" s="60" t="str">
        <x:v>confirmed_attack_bearing</x:v>
      </x:c>
      <x:c r="G89" s="60" t="str">
        <x:v>evaluates malicious-member persuasion to induce concrete harmful actions</x:v>
      </x:c>
      <x:c r="H89" s="60" t="str">
        <x:v>yes, per environment/harm/action evaluator</x:v>
      </x:c>
      <x:c r="I89" s="60" t="str">
        <x:v>one compromised member agent</x:v>
      </x:c>
      <x:c r="J89" s="60" t="str">
        <x:v>send persuasive/deceptive messages through ordinary role interfaces</x:v>
      </x:c>
      <x:c r="K89" s="60" t="str">
        <x:v>emulated tool environments and executable harm evaluators; one member controlled</x:v>
      </x:c>
      <x:c r="L89" s="60" t="str">
        <x:v>malicious peer induces honest agents to perform target harmful action through message influence and delegated tools</x:v>
      </x:c>
      <x:c r="M89" s="60" t="str">
        <x:v>inter-agent messages; role trust; tool delegation; shared task execution</x:v>
      </x:c>
      <x:c r="N89" s="60" t="str">
        <x:v>compositional action-integrity/authorization failure</x:v>
      </x:c>
      <x:c r="O89" s="60" t="str">
        <x:v>unauthorized, unsafe, privacy-violating, or resource-abusing actions</x:v>
      </x:c>
    </x:row>
    <x:row r="90">
      <x:c r="A90" s="60" t="n">
        <x:v>89</x:v>
      </x:c>
      <x:c r="B90" s="60" t="str">
        <x:v>zhao2026macbench</x:v>
      </x:c>
      <x:c r="C90" s="60" t="str">
        <x:v>evaluation</x:v>
      </x:c>
      <x:c r="D90" s="60" t="str">
        <x:v>benchmark</x:v>
      </x:c>
      <x:c r="E90" s="60" t="str">
        <x:v>evaluation; compliance measurement</x:v>
      </x:c>
      <x:c r="F90" s="60" t="str">
        <x:v>adversarial_pressure_evidence</x:v>
      </x:c>
      <x:c r="G90" s="60" t="str">
        <x:v>uses social-engineering pressure vectors; does not introduce a MAS-specific attack primitive</x:v>
      </x:c>
      <x:c r="H90" s="60" t="str">
        <x:v>no for attack taxonomy; yes for benchmark/evaluation synthesis</x:v>
      </x:c>
      <x:c r="I90" s="60" t="str">
        <x:v>scenario-level social-engineering pressure, not a consistently modeled agent adversary</x:v>
      </x:c>
      <x:c r="J90" s="60" t="str">
        <x:v>authority, urgency, emotional, and vague pressure intended to induce shortcuts</x:v>
      </x:c>
      <x:c r="K90" s="60" t="str">
        <x:v>SERV-generated executable rules, full trace recorder, compliance oracle</x:v>
      </x:c>
      <x:c r="L90" s="60" t="str">
        <x:v>agents maintain task success by violating procedural constraints, sometimes through delegated subtasks</x:v>
      </x:c>
      <x:c r="M90" s="60" t="str">
        <x:v>execution trace; delegated actions; data access; social pressure</x:v>
      </x:c>
      <x:c r="N90" s="60" t="str">
        <x:v>procedural compliance, authorization, privacy, and auditability failure</x:v>
      </x:c>
      <x:c r="O90" s="60" t="str">
        <x:v>successful tasks executed through rule violations and responsibility diffusion</x:v>
      </x:c>
    </x:row>
    <x:row r="91">
      <x:c r="A91" s="60" t="n">
        <x:v>90</x:v>
      </x:c>
      <x:c r="B91" s="60" t="str">
        <x:v>zou2026calbench</x:v>
      </x:c>
      <x:c r="C91" s="60" t="str">
        <x:v>evaluation</x:v>
      </x:c>
      <x:c r="D91" s="60" t="str">
        <x:v>benchmark</x:v>
      </x:c>
      <x:c r="E91" s="60" t="str">
        <x:v>evaluation; privacy/coordination measurement</x:v>
      </x:c>
      <x:c r="F91" s="60" t="str">
        <x:v>nonadversarial_privacy_evidence</x:v>
      </x:c>
      <x:c r="G91" s="60" t="str">
        <x:v>not an attack paper</x:v>
      </x:c>
      <x:c r="H91" s="60" t="str">
        <x:v>no</x:v>
      </x:c>
      <x:c r="I91" s="60" t="str">
        <x:v>none</x:v>
      </x:c>
      <x:c r="J91" s="60" t="str">
        <x:v>not applicable</x:v>
      </x:c>
      <x:c r="K91" s="60" t="str">
        <x:v>private calendars, matched CP-SAT oracle, private-information constraints, configurable cheap-talk channels</x:v>
      </x:c>
      <x:c r="L91" s="60" t="str">
        <x:v>over-disclosure, under-disclosure, inconsistent commitments, or inefficient coordination</x:v>
      </x:c>
      <x:c r="M91" s="60" t="str">
        <x:v>direct messages; participant group chat; all-agent group chat; private calendar state</x:v>
      </x:c>
      <x:c r="N91" s="60" t="str">
        <x:v>coordination-quality, fairness, and cross-principal privacy failure</x:v>
      </x:c>
      <x:c r="O91" s="60" t="str">
        <x:v>missed meetings, excess displacement cost, unfair burden, and inferred/revealed private state</x:v>
      </x:c>
    </x:row>
    <x:row r="92">
      <x:c r="A92" s="60" t="n">
        <x:v>91</x:v>
      </x:c>
      <x:c r="B92" s="60" t="str">
        <x:v>nakamura2026colosseum</x:v>
      </x:c>
      <x:c r="C92" s="60" t="str">
        <x:v>evaluation</x:v>
      </x:c>
      <x:c r="D92" s="60" t="str">
        <x:v>benchmark</x:v>
      </x:c>
      <x:c r="E92" s="60" t="str">
        <x:v>evaluation; attack/audit framework; theoretical formalization</x:v>
      </x:c>
      <x:c r="F92" s="60" t="str">
        <x:v>confirmed_attack_bearing_preprint</x:v>
      </x:c>
      <x:c r="G92" s="60" t="str">
        <x:v>elicits collusion under explicit/secret channels and persuasion</x:v>
      </x:c>
      <x:c r="H92" s="60" t="str">
        <x:v>yes, distinguish direct, attempted, and hidden collusion</x:v>
      </x:c>
      <x:c r="I92" s="60" t="str">
        <x:v>coalition of member agents with a secondary objective</x:v>
      </x:c>
      <x:c r="J92" s="60" t="str">
        <x:v>secret communication, persuasion, and coordinated action selection</x:v>
      </x:c>
      <x:c r="K92" s="60" t="str">
        <x:v>DCOP objective and cooperative optimum specified; coalition objective known to evaluator</x:v>
      </x:c>
      <x:c r="L92" s="60" t="str">
        <x:v>coalition coordinates through ordinary or secret channels to optimize secondary objective</x:v>
      </x:c>
      <x:c r="M92" s="60" t="str">
        <x:v>free-form messages; secret channel; joint action space</x:v>
      </x:c>
      <x:c r="N92" s="60" t="str">
        <x:v>collective objective and oversight integrity failure</x:v>
      </x:c>
      <x:c r="O92" s="60" t="str">
        <x:v>regret/coalition advantage and mismatch between textual collusion and realized actions</x:v>
      </x:c>
    </x:row>
    <x:row r="93">
      <x:c r="A93" s="60" t="n">
        <x:v>92</x:v>
      </x:c>
      <x:c r="B93" s="60" t="str">
        <x:v>milkowski2026amongus</x:v>
      </x:c>
      <x:c r="C93" s="60" t="str">
        <x:v>evaluation</x:v>
      </x:c>
      <x:c r="D93" s="60" t="str">
        <x:v>evaluation</x:v>
      </x:c>
      <x:c r="E93" s="60" t="str">
        <x:v>behavioral measurement; deception study</x:v>
      </x:c>
      <x:c r="F93" s="60" t="str">
        <x:v>assigned_adversarial_role_evidence</x:v>
      </x:c>
      <x:c r="G93" s="60" t="str">
        <x:v>evaluates role-conditioned deception; no new attack mechanism</x:v>
      </x:c>
      <x:c r="H93" s="60" t="str">
        <x:v>no for attack taxonomy; yes for deception/communication evidence</x:v>
      </x:c>
      <x:c r="I93" s="60" t="str">
        <x:v>impostor player agents assigned a conflicting game objective</x:v>
      </x:c>
      <x:c r="J93" s="60" t="str">
        <x:v>strategic actions, falsification, equivocation, accusations, and voting</x:v>
      </x:c>
      <x:c r="K93" s="60" t="str">
        <x:v>Among Us game rules provide role/action/outcome ground truth</x:v>
      </x:c>
      <x:c r="L93" s="60" t="str">
        <x:v>equivocation, explanations, denials, and other speech acts under suspicion</x:v>
      </x:c>
      <x:c r="M93" s="60" t="str">
        <x:v>meeting dialogue; accusations; voting; hidden-role information</x:v>
      </x:c>
      <x:c r="N93" s="60" t="str">
        <x:v>collective identification and decision-integrity failure</x:v>
      </x:c>
      <x:c r="O93" s="60" t="str">
        <x:v>crew loses or misidentifies impostors; deception behavior rarely improves win rate</x:v>
      </x:c>
    </x:row>
    <x:row r="94">
      <x:c r="A94" s="60" t="n">
        <x:v>93</x:v>
      </x:c>
      <x:c r="B94" s="60" t="str">
        <x:v>arora2026safeagents</x:v>
      </x:c>
      <x:c r="C94" s="60" t="str">
        <x:v>evaluation</x:v>
      </x:c>
      <x:c r="D94" s="60" t="str">
        <x:v>benchmark</x:v>
      </x:c>
      <x:c r="E94" s="60" t="str">
        <x:v>evaluation; diagnostic framework; attack-bearing study</x:v>
      </x:c>
      <x:c r="F94" s="60" t="str">
        <x:v>confirmed_attack_bearing_workshop</x:v>
      </x:c>
      <x:c r="G94" s="60" t="str">
        <x:v>evaluates direct adversarial prompts across MAS architectures; no new payload primitive</x:v>
      </x:c>
      <x:c r="H94" s="60" t="str">
        <x:v>yes for architecture-stage failures</x:v>
      </x:c>
      <x:c r="I94" s="60" t="str">
        <x:v>malicious user issuing harmful requests</x:v>
      </x:c>
      <x:c r="J94" s="60" t="str">
        <x:v>submit direct harmful prompts that are decomposed and delegated</x:v>
      </x:c>
      <x:c r="K94" s="60" t="str">
        <x:v>five observable architectures, trajectory judge, stage identities</x:v>
      </x:c>
      <x:c r="L94" s="60" t="str">
        <x:v>task decomposition, context fragmentation, ignored refusal, and fallback behavior hide or reconstitute harmful intent</x:v>
      </x:c>
      <x:c r="M94" s="60" t="str">
        <x:v>user request; planner; delegation; context sharing; subagents; fallback logic</x:v>
      </x:c>
      <x:c r="N94" s="60" t="str">
        <x:v>compositional action-integrity and safety-enforcement failure</x:v>
      </x:c>
      <x:c r="O94" s="60" t="str">
        <x:v>harmful workflow execution despite component refusals or incomplete context</x:v>
      </x:c>
    </x:row>
    <x:row r="95">
      <x:c r="A95" s="60" t="n">
        <x:v>94</x:v>
      </x:c>
      <x:c r="B95" s="60" t="str">
        <x:v>lemercier2026gambit</x:v>
      </x:c>
      <x:c r="C95" s="60" t="str">
        <x:v>evaluation</x:v>
      </x:c>
      <x:c r="D95" s="60" t="str">
        <x:v>benchmark</x:v>
      </x:c>
      <x:c r="E95" s="60" t="str">
        <x:v>evaluation; adaptive attack generation; detector evaluation</x:v>
      </x:c>
      <x:c r="F95" s="60" t="str">
        <x:v>confirmed_attack_bearing_preprint</x:v>
      </x:c>
      <x:c r="G95" s="60" t="str">
        <x:v>adaptive malicious-member attack is generated and evaluated, but the paper's primary contribution is the three-mode benchmark</x:v>
      </x:c>
      <x:c r="H95" s="60" t="str">
        <x:v>yes: split adaptive imposter generation, zero-shot detection, and recalibration claims</x:v>
      </x:c>
      <x:c r="I95" s="60" t="str">
        <x:v>one member agent acting as an adaptive imposter</x:v>
      </x:c>
      <x:c r="J95" s="60" t="str">
        <x:v>participate in ordinary collective discussion, optimize deceptive messages against the current detector, and evolve strategies over generations</x:v>
      </x:c>
      <x:c r="K95" s="60" t="str">
        <x:v>chess substrate with deterministic correctness, labeled imposter/benign discussions, detector access during co-evolution, and 20 labeled post-shift examples in recalibration mode</x:v>
      </x:c>
      <x:c r="L95" s="60" t="str">
        <x:v>co-evolved strategically deceptive reasoning degrades the collective while minimizing detector evidence</x:v>
      </x:c>
      <x:c r="M95" s="60" t="str">
        <x:v>inter-agent deliberation; member role; adaptive attack/defense feedback loop; observer calibration</x:v>
      </x:c>
      <x:c r="N95" s="60" t="str">
        <x:v>collective decision integrity and malicious-member detectability failure</x:v>
      </x:c>
      <x:c r="O95" s="60" t="str">
        <x:v>collective task collapse with near-chance detection in the highlighted adaptive setting; large differences in few-shot adaptation despite similar zero-shot scores</x:v>
      </x:c>
    </x:row>
    <x:row r="96">
      <x:c r="A96" s="60" t="n">
        <x:v>95</x:v>
      </x:c>
      <x:c r="B96" s="60" t="str">
        <x:v>mateotorrejon2026gammaf</x:v>
      </x:c>
      <x:c r="C96" s="60" t="str">
        <x:v>evaluation</x:v>
      </x:c>
      <x:c r="D96" s="60" t="str">
        <x:v>benchmark</x:v>
      </x:c>
      <x:c r="E96" s="60" t="str">
        <x:v>evaluation architecture; reproduction framework; defense comparison</x:v>
      </x:c>
      <x:c r="F96" s="60" t="str">
        <x:v>attack_bearing_benchmark_preprint</x:v>
      </x:c>
      <x:c r="G96" s="60" t="str">
        <x:v>uses compromised-node attack scenarios but proposes no new attack primitive</x:v>
      </x:c>
      <x:c r="H96" s="60" t="str">
        <x:v>yes for the benchmark's attack generation and remediation conditions</x:v>
      </x:c>
      <x:c r="I96" s="60" t="str">
        <x:v>compromised communicating member node</x:v>
      </x:c>
      <x:c r="J96" s="60" t="str">
        <x:v>send adversarial debate messages that steer peers and prolong deliberation</x:v>
      </x:c>
      <x:c r="K96" s="60" t="str">
        <x:v>observable attributed graph, benchmark-generated attack labels, live rounds, and authority to isolate flagged nodes</x:v>
      </x:c>
      <x:c r="L96" s="60" t="str">
        <x:v>malicious messages alter neighborhood reasoning; graph detectors identify nodes and dynamically remove them</x:v>
      </x:c>
      <x:c r="M96" s="60" t="str">
        <x:v>inter-agent messages; graph neighborhoods; topology; remediation controller</x:v>
      </x:c>
      <x:c r="N96" s="60" t="str">
        <x:v>collective answer integrity and resource-efficiency degradation</x:v>
      </x:c>
      <x:c r="O96" s="60" t="str">
        <x:v>wrong consensus and higher token cost; successful early isolation can restore integrity and shorten adversarial deliberation</x:v>
      </x:c>
    </x:row>
    <x:row r="97">
      <x:c r="A97" s="60" t="n">
        <x:v>96</x:v>
      </x:c>
      <x:c r="B97" s="60" t="str">
        <x:v>rahman2026harp</x:v>
      </x:c>
      <x:c r="C97" s="60" t="str">
        <x:v>evaluation</x:v>
      </x:c>
      <x:c r="D97" s="60" t="str">
        <x:v>benchmark</x:v>
      </x:c>
      <x:c r="E97" s="60" t="str">
        <x:v>evaluation methodology; attack harness; reference defense evaluation</x:v>
      </x:c>
      <x:c r="F97" s="60" t="str">
        <x:v>confirmed_attack_bearing_preprint</x:v>
      </x:c>
      <x:c r="G97" s="60" t="str">
        <x:v>evaluates four threat regimes rather than introducing one standalone attack</x:v>
      </x:c>
      <x:c r="H97" s="60" t="str">
        <x:v>yes: separate specialist compromise, collusion, shared-context corruption, temporal persistence, and memory persistence</x:v>
      </x:c>
      <x:c r="I97" s="60" t="str">
        <x:v>compromised specialist member, colluding members, or attacker controlling shared context/memory</x:v>
      </x:c>
      <x:c r="J97" s="60" t="str">
        <x:v>alter specialist outputs, coordinate small deviations, corrupt shared evidence, and trigger delayed or persistent perturbations</x:v>
      </x:c>
      <x:c r="K97" s="60" t="str">
        <x:v>paired clean/perturbed executions under the same database seed, deterministic decision gate, trace oracle, and full event instrumentation</x:v>
      </x:c>
      <x:c r="L97" s="60" t="str">
        <x:v>local deviations are routed, reused, reinforced, or persisted until they produce broader trace-level harm</x:v>
      </x:c>
      <x:c r="M97" s="60" t="str">
        <x:v>specialist outputs; tools; shared context; memory; router; guard events; deterministic decision gate</x:v>
      </x:c>
      <x:c r="N97" s="60" t="str">
        <x:v>propagation and compromise-containment failure with downstream action/decision integrity impact</x:v>
      </x:c>
      <x:c r="O97" s="60" t="str">
        <x:v>local and global harm diverge; different threat regimes maximize amplification, ASR, or malicious impact</x:v>
      </x:c>
    </x:row>
    <x:row r="98">
      <x:c r="A98" s="60" t="n">
        <x:v>97</x:v>
      </x:c>
      <x:c r="B98" s="60" t="str">
        <x:v>olson2026liecraft</x:v>
      </x:c>
      <x:c r="C98" s="60" t="str">
        <x:v>evaluation</x:v>
      </x:c>
      <x:c r="D98" s="60" t="str">
        <x:v>benchmark</x:v>
      </x:c>
      <x:c r="E98" s="60" t="str">
        <x:v>evaluation; behavioral capability study</x:v>
      </x:c>
      <x:c r="F98" s="60" t="str">
        <x:v>assigned_role_adversarial_evidence</x:v>
      </x:c>
      <x:c r="G98" s="60" t="str">
        <x:v>not an attack proposal; evaluates induced defector behavior</x:v>
      </x:c>
      <x:c r="H98" s="60" t="str">
        <x:v>no standalone attack instance; code deception conditions and outcomes</x:v>
      </x:c>
      <x:c r="I98" s="60" t="str">
        <x:v>in-game defector with a private conflicting objective</x:v>
      </x:c>
      <x:c r="J98" s="60" t="str">
        <x:v>communicate strategically, misrepresent intent, conceal role, and take game actions</x:v>
      </x:c>
      <x:c r="K98" s="60" t="str">
        <x:v>hidden-role game engine, known role ground truth, balanced scenario generation, and explicit incentives</x:v>
      </x:c>
      <x:c r="L98" s="60" t="str">
        <x:v>strategic deception manipulates other agents' beliefs and accusation decisions</x:v>
      </x:c>
      <x:c r="M98" s="60" t="str">
        <x:v>private role; natural-language communication; game actions; collective accusation</x:v>
      </x:c>
      <x:c r="N98" s="60" t="str">
        <x:v>collective decision integrity under strategic deception</x:v>
      </x:c>
      <x:c r="O98" s="60" t="str">
        <x:v>defection, successful deception, missed detection, or outcomes favoring the defector</x:v>
      </x:c>
    </x:row>
    <x:row r="99">
      <x:c r="A99" s="60" t="n">
        <x:v>98</x:v>
      </x:c>
      <x:c r="B99" s="60" t="str">
        <x:v>jia2026masfire</x:v>
      </x:c>
      <x:c r="C99" s="60" t="str">
        <x:v>evaluation</x:v>
      </x:c>
      <x:c r="D99" s="60" t="str">
        <x:v>benchmark</x:v>
      </x:c>
      <x:c r="E99" s="60" t="str">
        <x:v>evaluation; fault-injection methodology</x:v>
      </x:c>
      <x:c r="F99" s="60" t="str">
        <x:v>nonadversarial_fault_evidence</x:v>
      </x:c>
      <x:c r="G99" s="60" t="str">
        <x:v>not an attack paper unless a malicious injection claim is separately coded</x:v>
      </x:c>
      <x:c r="H99" s="60" t="str">
        <x:v>no for general benchmark; yes only for routing-manipulation or adversarial fault instances</x:v>
      </x:c>
      <x:c r="I99" s="60" t="str">
        <x:v>fault-injection harness; no required strategic attacker</x:v>
      </x:c>
      <x:c r="J99" s="60" t="str">
        <x:v>modify prompts, rewrite responses, or manipulate routing at selected interaction points</x:v>
      </x:c>
      <x:c r="K99" s="60" t="str">
        <x:v>known injection site, semantic fault library, full trace and task oracle</x:v>
      </x:c>
      <x:c r="L99" s="60" t="str">
        <x:v>hallucination, instruction misinterpretation, or reasoning drift is injected and then propagated, masked, or recovered</x:v>
      </x:c>
      <x:c r="M99" s="60" t="str">
        <x:v>agent prompt; response; routing; inter-agent messages</x:v>
      </x:c>
      <x:c r="N99" s="60" t="str">
        <x:v>workflow reliability, propagation, and recovery failure</x:v>
      </x:c>
      <x:c r="O99" s="60" t="str">
        <x:v>faults can be catastrophic in some linear workflows and neutralized by iterative closed-loop designs</x:v>
      </x:c>
    </x:row>
    <x:row r="100">
      <x:c r="A100" s="60" t="n">
        <x:v>99</x:v>
      </x:c>
      <x:c r="B100" s="60" t="str">
        <x:v>gonzalez2026multimodalsafety</x:v>
      </x:c>
      <x:c r="C100" s="60" t="str">
        <x:v>evaluation</x:v>
      </x:c>
      <x:c r="D100" s="60" t="str">
        <x:v>benchmark</x:v>
      </x:c>
      <x:c r="E100" s="60" t="str">
        <x:v>evaluation; social-simulation dataset</x:v>
      </x:c>
      <x:c r="F100" s="60" t="str">
        <x:v>nonadversarial_safety_evidence</x:v>
      </x:c>
      <x:c r="G100" s="60" t="str">
        <x:v>not an attack paper</x:v>
      </x:c>
      <x:c r="H100" s="60" t="str">
        <x:v>no</x:v>
      </x:c>
      <x:c r="I100" s="60" t="str">
        <x:v>none; unsafe scenarios and misleading visual cues are injected by the evaluation harness</x:v>
      </x:c>
      <x:c r="J100" s="60" t="str">
        <x:v>not applicable</x:v>
      </x:c>
      <x:c r="K100" s="60" t="str">
        <x:v>simulated social environment, labeled unsafe plans/actions, multimodal cues, and safety annotators</x:v>
      </x:c>
      <x:c r="L100" s="60" t="str">
        <x:v>unsafe or misleading context persists through planning, conversation, memory, reflection, and action</x:v>
      </x:c>
      <x:c r="M100" s="60" t="str">
        <x:v>initial plan; image; conversation; memory; reflection; shared environment</x:v>
      </x:c>
      <x:c r="N100" s="60" t="str">
        <x:v>interaction-amplified situational safety failure</x:v>
      </x:c>
      <x:c r="O100" s="60" t="str">
        <x:v>unsafe plans are sometimes corrected, but misleading visuals still lead to unsafe action acceptance</x:v>
      </x:c>
    </x:row>
    <x:row r="101">
      <x:c r="A101" s="60" t="n">
        <x:v>100</x:v>
      </x:c>
      <x:c r="B101" s="60" t="str">
        <x:v>dong2026pear</x:v>
      </x:c>
      <x:c r="C101" s="60" t="str">
        <x:v>evaluation</x:v>
      </x:c>
      <x:c r="D101" s="60" t="str">
        <x:v>benchmark</x:v>
      </x:c>
      <x:c r="E101" s="60" t="str">
        <x:v>evaluation; attack-bearing study</x:v>
      </x:c>
      <x:c r="F101" s="60" t="str">
        <x:v>confirmed_attack_bearing</x:v>
      </x:c>
      <x:c r="G101" s="60" t="str">
        <x:v>evaluates planner- and executor-targeted attacks rather than proposing a general new primitive</x:v>
      </x:c>
      <x:c r="H101" s="60" t="str">
        <x:v>yes: planner target, executor target, and memory conditions should be separate claims</x:v>
      </x:c>
      <x:c r="I101" s="60" t="str">
        <x:v>external or contextual injector targeting planner-facing or executor-facing input</x:v>
      </x:c>
      <x:c r="J101" s="60" t="str">
        <x:v>insert role-specific malicious instructions and influence shared memory/context</x:v>
      </x:c>
      <x:c r="K101" s="60" t="str">
        <x:v>separable planner and executor roles, instrumentable memory, and outcome oracle</x:v>
      </x:c>
      <x:c r="L101" s="60" t="str">
        <x:v>prompt injection corrupts plan formation or action execution depending on role position</x:v>
      </x:c>
      <x:c r="M101" s="60" t="str">
        <x:v>planner input; planner-executor message; executor input; memory; tool execution</x:v>
      </x:c>
      <x:c r="N101" s="60" t="str">
        <x:v>delegated plan and action integrity failure</x:v>
      </x:c>
      <x:c r="O101" s="60" t="str">
        <x:v>role-dependent attack success and a utility-robustness trade-off</x:v>
      </x:c>
    </x:row>
    <x:row r="102">
      <x:c r="A102" s="60" t="n">
        <x:v>101</x:v>
      </x:c>
      <x:c r="B102" s="60" t="str">
        <x:v>jiang2026risklab</x:v>
      </x:c>
      <x:c r="C102" s="60" t="str">
        <x:v>evaluation</x:v>
      </x:c>
      <x:c r="D102" s="60" t="str">
        <x:v>system_demo</x:v>
      </x:c>
      <x:c r="E102" s="60" t="str">
        <x:v>evaluation toolkit; benchmark infrastructure</x:v>
      </x:c>
      <x:c r="F102" s="60" t="str">
        <x:v>mixed_risk_probe_evidence</x:v>
      </x:c>
      <x:c r="G102" s="60" t="str">
        <x:v>not one attack paper; scenario modules may instantiate malicious, self-interested, or faulty behavior</x:v>
      </x:c>
      <x:c r="H102" s="60" t="str">
        <x:v>yes only at individual probe/claim level</x:v>
      </x:c>
      <x:c r="I102" s="60" t="str">
        <x:v>scenario-dependent malicious, self-interested, or faulty member</x:v>
      </x:c>
      <x:c r="J102" s="60" t="str">
        <x:v>configured through roles, incentives, protocols, topology, and environment conditions</x:v>
      </x:c>
      <x:c r="K102" s="60" t="str">
        <x:v>controlled scenario oracle, full trajectory logging, and explicit experiment quintuple</x:v>
      </x:c>
      <x:c r="L102" s="60" t="str">
        <x:v>scenario modules induce or reveal interaction-dependent collusion, resource overreach, semantic drift, or strategic misreporting</x:v>
      </x:c>
      <x:c r="M102" s="60" t="str">
        <x:v>topology; protocol; incentives; agent roles; environment; task</x:v>
      </x:c>
      <x:c r="N102" s="60" t="str">
        <x:v>mixed collective integrity, resource control, and reliability failures</x:v>
      </x:c>
      <x:c r="O102" s="60" t="str">
        <x:v>trajectory-grounded risk signals vary under independently configurable structural conditions</x:v>
      </x:c>
    </x:row>
    <x:row r="103">
      <x:c r="A103" s="60" t="n">
        <x:v>102</x:v>
      </x:c>
      <x:c r="B103" s="60" t="str">
        <x:v>kavathekar2026tamas</x:v>
      </x:c>
      <x:c r="C103" s="60" t="str">
        <x:v>evaluation</x:v>
      </x:c>
      <x:c r="D103" s="60" t="str">
        <x:v>benchmark</x:v>
      </x:c>
      <x:c r="E103" s="60" t="str">
        <x:v>evaluation; attack suite</x:v>
      </x:c>
      <x:c r="F103" s="60" t="str">
        <x:v>confirmed_attack_bearing</x:v>
      </x:c>
      <x:c r="G103" s="60" t="str">
        <x:v>benchmarks six attack types rather than proposing a single new attack</x:v>
      </x:c>
      <x:c r="H103" s="60" t="str">
        <x:v>yes: each attack/domain/configuration claim should be separate</x:v>
      </x:c>
      <x:c r="I103" s="60" t="str">
        <x:v>malicious user or external content source; scenario-dependent impersonator/tool attacker</x:v>
      </x:c>
      <x:c r="J103" s="60" t="str">
        <x:v>direct/indirect prompt injection, impersonation, information theft, malicious code execution, and denial of service through benchmark interfaces</x:v>
      </x:c>
      <x:c r="K103" s="60" t="str">
        <x:v>AutoGen/CrewAI configurations, scenario tool environment, benchmark-defined attack access, and task evaluators</x:v>
      </x:c>
      <x:c r="L103" s="60" t="str">
        <x:v>scenario-specific adversarial instructions exploit routing, authority, identity, and tool trust</x:v>
      </x:c>
      <x:c r="M103" s="60" t="str">
        <x:v>user prompt; external content; identities; tool interface; inter-agent workflow</x:v>
      </x:c>
      <x:c r="N103" s="60" t="str">
        <x:v>workflow confidentiality, action integrity, and availability failure</x:v>
      </x:c>
      <x:c r="O103" s="60" t="str">
        <x:v>attack success and benign task effectiveness vary materially by model and interaction configuration</x:v>
      </x:c>
    </x:row>
    <x:row r="104">
      <x:c r="A104" s="60" t="n">
        <x:v>103</x:v>
      </x:c>
      <x:c r="B104" s="60" t="str">
        <x:v>liu2026valueflow</x:v>
      </x:c>
      <x:c r="C104" s="60" t="str">
        <x:v>evaluation</x:v>
      </x:c>
      <x:c r="D104" s="60" t="str">
        <x:v>evaluation</x:v>
      </x:c>
      <x:c r="E104" s="60" t="str">
        <x:v>benchmark; measurement framework</x:v>
      </x:c>
      <x:c r="F104" s="60" t="str">
        <x:v>controlled_perturbation_evidence</x:v>
      </x:c>
      <x:c r="G104" s="60" t="str">
        <x:v>not an observed attack paper</x:v>
      </x:c>
      <x:c r="H104" s="60" t="str">
        <x:v>no attack instance; code perturbation/evaluation conditions</x:v>
      </x:c>
      <x:c r="I104" s="60" t="str">
        <x:v>evaluation harness perturbs a selected agent's value signal</x:v>
      </x:c>
      <x:c r="J104" s="60" t="str">
        <x:v>alter node-level value-expressive output</x:v>
      </x:c>
      <x:c r="K104" s="60" t="str">
        <x:v>downstream agents observe upstream outputs; value questions and judge protocol define measurement</x:v>
      </x:c>
      <x:c r="L104" s="60" t="str">
        <x:v>controlled value signal propagates through messages and changes downstream/final responses</x:v>
      </x:c>
      <x:c r="M104" s="60" t="str">
        <x:v>inter-agent messages; role position; communication topology</x:v>
      </x:c>
      <x:c r="N104" s="60" t="str">
        <x:v>collective value/objective integrity perturbation</x:v>
      </x:c>
      <x:c r="O104" s="60" t="str">
        <x:v>susceptibility varies by value, model, role, node position, and topology</x:v>
      </x:c>
    </x:row>
    <x:row r="105">
      <x:c r="A105" s="60" t="n">
        <x:v>104</x:v>
      </x:c>
      <x:c r="B105" s="60" t="str">
        <x:v>allegrini2025formalizing</x:v>
      </x:c>
      <x:c r="C105" s="60" t="str">
        <x:v>general</x:v>
      </x:c>
      <x:c r="D105" s="60" t="str">
        <x:v>theoretical_framework</x:v>
      </x:c>
      <x:c r="E105" s="60" t="str">
        <x:v>position paper; formal system model</x:v>
      </x:c>
      <x:c r="F105" s="60" t="str">
        <x:v>no_empirical_attack_evidence</x:v>
      </x:c>
      <x:c r="G105" s="60" t="str">
        <x:v>not an attack paper</x:v>
      </x:c>
      <x:c r="H105" s="60" t="str">
        <x:v>no</x:v>
      </x:c>
      <x:c r="I105" s="60" t="str">
        <x:v>malicious or misconfigured protocol participant/tool in illustrative properties</x:v>
      </x:c>
      <x:c r="J105" s="60" t="str">
        <x:v>exploit semantic or lifecycle mismatches across host, tool, and A2A composition</x:v>
      </x:c>
      <x:c r="K105" s="60" t="str">
        <x:v>implementation behavior is faithfully represented by the host-agent and task-lifecycle models</x:v>
      </x:c>
      <x:c r="L105" s="60" t="str">
        <x:v>cross-protocol semantic mismatch causes isolated properties to fail under composition</x:v>
      </x:c>
      <x:c r="M105" s="60" t="str">
        <x:v>host-agent orchestration; MCP tool access; A2A coordination; task lifecycle</x:v>
      </x:c>
      <x:c r="N105" s="60" t="str">
        <x:v>cross-protocol safety, security, liveness, completeness, or fairness invariant violation</x:v>
      </x:c>
      <x:c r="O105" s="60" t="str">
        <x:v>formal examples expose coordination edge cases, deadlocks, and security/property failures</x:v>
      </x:c>
    </x:row>
    <x:row r="106">
      <x:c r="A106" s="60" t="n">
        <x:v>105</x:v>
      </x:c>
      <x:c r="B106" s="60" t="str">
        <x:v>bellay2025safesystems</x:v>
      </x:c>
      <x:c r="C106" s="60" t="str">
        <x:v>general</x:v>
      </x:c>
      <x:c r="D106" s="60" t="str">
        <x:v>position_paper</x:v>
      </x:c>
      <x:c r="E106" s="60" t="str">
        <x:v>theoretical perspective; systems-safety agenda</x:v>
      </x:c>
      <x:c r="F106" s="60" t="str">
        <x:v>no_attack_evidence</x:v>
      </x:c>
      <x:c r="G106" s="60" t="str">
        <x:v>not an attack paper</x:v>
      </x:c>
      <x:c r="H106" s="60" t="str">
        <x:v>no</x:v>
      </x:c>
      <x:c r="I106" s="60" t="str">
        <x:v>conceptual unsafe, faulty, or adversarial member</x:v>
      </x:c>
      <x:c r="J106" s="60" t="str">
        <x:v>produce unsafe local actions or messages</x:v>
      </x:c>
      <x:c r="K106" s="60" t="str">
        <x:v>system architecture can mediate consequential actions and enforce global constraints</x:v>
      </x:c>
      <x:c r="L106" s="60" t="str">
        <x:v>unsafe local behavior enters collective execution but may be contained by architecture</x:v>
      </x:c>
      <x:c r="M106" s="60" t="str">
        <x:v>agent composition; coordination; system constraints</x:v>
      </x:c>
      <x:c r="N106" s="60" t="str">
        <x:v>global mission/safety invariant violation despite local component assumptions</x:v>
      </x:c>
      <x:c r="O106" s="60" t="str">
        <x:v>conceptual failure and defense agenda; no measured impact</x:v>
      </x:c>
    </x:row>
    <x:row r="107">
      <x:c r="A107" s="60" t="n">
        <x:v>106</x:v>
      </x:c>
      <x:c r="B107" s="60" t="str">
        <x:v>hu2025responsibility</x:v>
      </x:c>
      <x:c r="C107" s="60" t="str">
        <x:v>general</x:v>
      </x:c>
      <x:c r="D107" s="60" t="str">
        <x:v>position_paper</x:v>
      </x:c>
      <x:c r="E107" s="60" t="str">
        <x:v>theoretical framework; governance perspective</x:v>
      </x:c>
      <x:c r="F107" s="60" t="str">
        <x:v>no_empirical_attack_evidence</x:v>
      </x:c>
      <x:c r="G107" s="60" t="str">
        <x:v>not an attack paper</x:v>
      </x:c>
      <x:c r="H107" s="60" t="str">
        <x:v>no</x:v>
      </x:c>
      <x:c r="I107" s="60" t="str">
        <x:v>conceptual adversarial member or ordinary interaction failure</x:v>
      </x:c>
      <x:c r="J107" s="60" t="str">
        <x:v>exploit disagreement, cascading uncertainty, and weak local controls</x:v>
      </x:c>
      <x:c r="K107" s="60" t="str">
        <x:v>global agreement and responsibility variables can be observed or verified</x:v>
      </x:c>
      <x:c r="L107" s="60" t="str">
        <x:v>locally aligned decisions compose into globally irresponsible or insecure outcomes</x:v>
      </x:c>
      <x:c r="M107" s="60" t="str">
        <x:v>coordination; agreement; uncertainty propagation; governance and oversight</x:v>
      </x:c>
      <x:c r="N107" s="60" t="str">
        <x:v>collective objective, agreement, and accountability failure</x:v>
      </x:c>
      <x:c r="O107" s="60" t="str">
        <x:v>conceptual lifecycle risks; no measured attack outcome</x:v>
      </x:c>
    </x:row>
    <x:row r="108">
      <x:c r="A108" s="60" t="n">
        <x:v>107</x:v>
      </x:c>
      <x:c r="B108" s="60" t="str">
        <x:v>anbiaee2026protocols</x:v>
      </x:c>
      <x:c r="C108" s="60" t="str">
        <x:v>general</x:v>
      </x:c>
      <x:c r="D108" s="60" t="str">
        <x:v>threat_modeling_study</x:v>
      </x:c>
      <x:c r="E108" s="60" t="str">
        <x:v>survey; comparative analysis; measurement case study</x:v>
      </x:c>
      <x:c r="F108" s="60" t="str">
        <x:v>protocol_threat_model_and_case_study</x:v>
      </x:c>
      <x:c r="G108" s="60" t="str">
        <x:v>not a new attack paper; catalogs threats and includes a measurement-driven MCP validation/attestation case study</x:v>
      </x:c>
      <x:c r="H108" s="60" t="str">
        <x:v>yes only for the empirical wrong-provider execution case study; no for the qualitative risk matrix</x:v>
      </x:c>
      <x:c r="I108" s="60" t="str">
        <x:v>malicious agent, server, tool, intermediary, or external attacker depending on protocol lifecycle</x:v>
      </x:c>
      <x:c r="J108" s="60" t="str">
        <x:v>spoof, tamper, replay, abuse discovery, escalate privilege, disclose data, or deny service</x:v>
      </x:c>
      <x:c r="K108" s="60" t="str">
        <x:v>protocol specifications/implementations expose modeled lifecycle states; MCP case assumes multi-server resolver policies</x:v>
      </x:c>
      <x:c r="L108" s="60" t="str">
        <x:v>protocol lifecycle and trust-assumption weaknesses break identity, integrity, authorization, or availability</x:v>
      </x:c>
      <x:c r="M108" s="60" t="str">
        <x:v>discovery; authentication; session establishment; messages; delegation; tools; update lifecycle</x:v>
      </x:c>
      <x:c r="N108" s="60" t="str">
        <x:v>protocol identity, authorization, integrity, confidentiality, and availability failure</x:v>
      </x:c>
      <x:c r="O108" s="60" t="str">
        <x:v>qualitative twelve-risk matrix plus empirical wrong-provider tool execution in MCP composition</x:v>
      </x:c>
    </x:row>
    <x:row r="109">
      <x:c r="A109" s="60" t="n">
        <x:v>108</x:v>
      </x:c>
      <x:c r="B109" s="60" t="str">
        <x:v>yu2025trustworthyagents</x:v>
      </x:c>
      <x:c r="C109" s="60" t="str">
        <x:v>survey</x:v>
      </x:c>
      <x:c r="D109" s="60" t="str">
        <x:v>survey</x:v>
      </x:c>
      <x:c r="E109" s="60" t="str">
        <x:v>taxonomy; related-work comparator</x:v>
      </x:c>
      <x:c r="F109" s="60" t="str">
        <x:v>survey_only</x:v>
      </x:c>
      <x:c r="G109" s="60" t="str">
        <x:v>not an attack paper; primary attacks must be cited directly</x:v>
      </x:c>
      <x:c r="H109" s="60" t="str">
        <x:v>no</x:v>
      </x:c>
      <x:c r="I109" s="60" t="str">
        <x:v>varies across surveyed work</x:v>
      </x:c>
      <x:c r="J109" s="60" t="str">
        <x:v>varies across intrinsic and extrinsic threats</x:v>
      </x:c>
      <x:c r="K109" s="60" t="str">
        <x:v>heterogeneous source-paper assumptions</x:v>
      </x:c>
      <x:c r="L109" s="60" t="str">
        <x:v>varies</x:v>
      </x:c>
      <x:c r="M109" s="60" t="str">
        <x:v>brain; memory; tools; users; peer agents; environment</x:v>
      </x:c>
      <x:c r="N109" s="60" t="str">
        <x:v>broad safety, robustness, privacy, fairness, and trustworthiness failures</x:v>
      </x:c>
      <x:c r="O109" s="60" t="str">
        <x:v>taxonomy and research agenda, not one empirical impact</x:v>
      </x:c>
    </x:row>
    <x:row r="110">
      <x:c r="A110" s="60" t="n">
        <x:v>109</x:v>
      </x:c>
      <x:c r="B110" s="60" t="str">
        <x:v>deng2025agentsunderthreat</x:v>
      </x:c>
      <x:c r="C110" s="60" t="str">
        <x:v>survey</x:v>
      </x:c>
      <x:c r="D110" s="60" t="str">
        <x:v>survey</x:v>
      </x:c>
      <x:c r="E110" s="60" t="str">
        <x:v>taxonomy; related-work comparator</x:v>
      </x:c>
      <x:c r="F110" s="60" t="str">
        <x:v>survey_only</x:v>
      </x:c>
      <x:c r="G110" s="60" t="str">
        <x:v>not an attack paper</x:v>
      </x:c>
      <x:c r="H110" s="60" t="str">
        <x:v>no</x:v>
      </x:c>
      <x:c r="I110" s="60" t="str">
        <x:v>varies across source papers</x:v>
      </x:c>
      <x:c r="J110" s="60" t="str">
        <x:v>prompt, internal execution, environment, and external-entity manipulation</x:v>
      </x:c>
      <x:c r="K110" s="60" t="str">
        <x:v>heterogeneous across surveyed work</x:v>
      </x:c>
      <x:c r="L110" s="60" t="str">
        <x:v>varies</x:v>
      </x:c>
      <x:c r="M110" s="60" t="str">
        <x:v>multi-step input; internal execution; operational environment; untrusted external interaction</x:v>
      </x:c>
      <x:c r="N110" s="60" t="str">
        <x:v>broad agent security and privacy failures</x:v>
      </x:c>
      <x:c r="O110" s="60" t="str">
        <x:v>taxonomy and future pathways</x:v>
      </x:c>
    </x:row>
    <x:row r="111">
      <x:c r="A111" s="60" t="n">
        <x:v>110</x:v>
      </x:c>
      <x:c r="B111" s="60" t="str">
        <x:v>schroederdewitt2025openchallenges</x:v>
      </x:c>
      <x:c r="C111" s="60" t="str">
        <x:v>survey</x:v>
      </x:c>
      <x:c r="D111" s="60" t="str">
        <x:v>survey_position</x:v>
      </x:c>
      <x:c r="E111" s="60" t="str">
        <x:v>threat taxonomy; multidisciplinary research agenda; conceptual framework</x:v>
      </x:c>
      <x:c r="F111" s="60" t="str">
        <x:v>survey_and_anticipatory_threats</x:v>
      </x:c>
      <x:c r="G111" s="60" t="str">
        <x:v>not a primary attack paper; many categories are anticipatory and must be grounded in cited primary work before use</x:v>
      </x:c>
      <x:c r="H111" s="60" t="str">
        <x:v>no</x:v>
      </x:c>
      <x:c r="I111" s="60" t="str">
        <x:v>malicious agents, coalitions, operators, and external attackers in conceptual threat models</x:v>
      </x:c>
      <x:c r="J111" s="60" t="str">
        <x:v>collude, communicate covertly, propagate attacks, exploit open protocols/shared environments, and evade oversight</x:v>
      </x:c>
      <x:c r="K111" s="60" t="str">
        <x:v>broad free-form direct or indirect interaction among autonomous agents</x:v>
      </x:c>
      <x:c r="L111" s="60" t="str">
        <x:v>network effects, information asymmetry, shared state, collusion, swarms, dispersion, and stealth optimization</x:v>
      </x:c>
      <x:c r="M111" s="60" t="str">
        <x:v>communication; topology; protocols; membership; shared environment; oversight</x:v>
      </x:c>
      <x:c r="N111" s="60" t="str">
        <x:v>systemic security, privacy, oversight, accountability, and stability failures</x:v>
      </x:c>
      <x:c r="O111" s="60" t="str">
        <x:v>conceptual threat landscape and research agenda; not prevalence or benchmark results</x:v>
      </x:c>
    </x:row>
    <x:row r="112">
      <x:c r="A112" s="60" t="n">
        <x:v>111</x:v>
      </x:c>
      <x:c r="B112" s="60" t="str">
        <x:v>he2025emergedsecurity</x:v>
      </x:c>
      <x:c r="C112" s="60" t="str">
        <x:v>survey</x:v>
      </x:c>
      <x:c r="D112" s="60" t="str">
        <x:v>survey</x:v>
      </x:c>
      <x:c r="E112" s="60" t="str">
        <x:v>case-study synthesis; taxonomy; related-work comparator</x:v>
      </x:c>
      <x:c r="F112" s="60" t="str">
        <x:v>survey_case_studies_only</x:v>
      </x:c>
      <x:c r="G112" s="60" t="str">
        <x:v>not an attack paper; case studies cannot substitute for primary attack evidence</x:v>
      </x:c>
      <x:c r="H112" s="60" t="str">
        <x:v>no</x:v>
      </x:c>
      <x:c r="I112" s="60" t="str">
        <x:v>varies</x:v>
      </x:c>
      <x:c r="J112" s="60" t="str">
        <x:v>prompt, memory, tool, data, and interaction manipulation</x:v>
      </x:c>
      <x:c r="K112" s="60" t="str">
        <x:v>heterogeneous</x:v>
      </x:c>
      <x:c r="L112" s="60" t="str">
        <x:v>varies</x:v>
      </x:c>
      <x:c r="M112" s="60" t="str">
        <x:v>agent components and interaction channels</x:v>
      </x:c>
      <x:c r="N112" s="60" t="str">
        <x:v>broad security, privacy, availability, and safe-action failures</x:v>
      </x:c>
      <x:c r="O112" s="60" t="str">
        <x:v>taxonomy, case observations, and research agenda</x:v>
      </x:c>
    </x:row>
    <x:row r="113">
      <x:c r="A113" s="60" t="n">
        <x:v>112</x:v>
      </x:c>
      <x:c r="B113" s="60" t="str">
        <x:v>ko2026sevenchallenges</x:v>
      </x:c>
      <x:c r="C113" s="60" t="str">
        <x:v>survey</x:v>
      </x:c>
      <x:c r="D113" s="60" t="str">
        <x:v>perspective</x:v>
      </x:c>
      <x:c r="E113" s="60" t="str">
        <x:v>challenge taxonomy; metrics/design guidance; related-work comparator</x:v>
      </x:c>
      <x:c r="F113" s="60" t="str">
        <x:v>plausible_attack_scenarios_not_primary_evidence</x:v>
      </x:c>
      <x:c r="G113" s="60" t="str">
        <x:v>not an attack paper</x:v>
      </x:c>
      <x:c r="H113" s="60" t="str">
        <x:v>no</x:v>
      </x:c>
      <x:c r="I113" s="60" t="str">
        <x:v>malicious agent, external attacker, or compromised infrastructure depending on challenge</x:v>
      </x:c>
      <x:c r="J113" s="60" t="str">
        <x:v>impersonation, manipulation, leakage, collusion, provenance abuse, and cross-domain policy exploitation</x:v>
      </x:c>
      <x:c r="K113" s="60" t="str">
        <x:v>heterogeneous organizations and broken unified trust assumptions</x:v>
      </x:c>
      <x:c r="L113" s="60" t="str">
        <x:v>trust, policy, provenance, objective, and privacy fail to compose across domains</x:v>
      </x:c>
      <x:c r="M113" s="60" t="str">
        <x:v>identity; communication; memory/context; delegation; provenance; governance boundaries</x:v>
      </x:c>
      <x:c r="N113" s="60" t="str">
        <x:v>cross-domain integrity, confidentiality, accountability, and policy-composition failure</x:v>
      </x:c>
      <x:c r="O113" s="60" t="str">
        <x:v>seven challenge categories with plausible attacks, metrics, and directions; no prevalence estimate</x:v>
      </x:c>
    </x:row>
    <x:row r="114">
      <x:c r="A114" s="60" t="n">
        <x:v>113</x:v>
      </x:c>
      <x:c r="B114" s="60" t="str">
        <x:v>kim2026agenticai</x:v>
      </x:c>
      <x:c r="C114" s="60" t="str">
        <x:v>survey</x:v>
      </x:c>
      <x:c r="D114" s="60" t="str">
        <x:v>sok</x:v>
      </x:c>
      <x:c r="E114" s="60" t="str">
        <x:v>survey; design-space taxonomy; attack/defense landscape</x:v>
      </x:c>
      <x:c r="F114" s="60" t="str">
        <x:v>sok_only</x:v>
      </x:c>
      <x:c r="G114" s="60" t="str">
        <x:v>not a primary attack paper</x:v>
      </x:c>
      <x:c r="H114" s="60" t="str">
        <x:v>no</x:v>
      </x:c>
      <x:c r="I114" s="60" t="str">
        <x:v>varies across surveyed work</x:v>
      </x:c>
      <x:c r="J114" s="60" t="str">
        <x:v>prompt, memory, tool, workflow, model, interface, and environment manipulation</x:v>
      </x:c>
      <x:c r="K114" s="60" t="str">
        <x:v>heterogeneous source-paper assumptions</x:v>
      </x:c>
      <x:c r="L114" s="60" t="str">
        <x:v>varies</x:v>
      </x:c>
      <x:c r="M114" s="60" t="str">
        <x:v>model; prompt/input; memory; tools; workflow/action; interface; environment</x:v>
      </x:c>
      <x:c r="N114" s="60" t="str">
        <x:v>agentic component and system security/privacy failures</x:v>
      </x:c>
      <x:c r="O114" s="60" t="str">
        <x:v>systematization, design dimensions, attack landscape, defense landscape, and open challenges</x:v>
      </x:c>
    </x:row>
    <x:row r="115">
      <x:c r="A115" s="60" t="n">
        <x:v>114</x:v>
      </x:c>
      <x:c r="B115" s="60" t="str">
        <x:v>raza2026trism</x:v>
      </x:c>
      <x:c r="C115" s="60" t="str">
        <x:v>survey</x:v>
      </x:c>
      <x:c r="D115" s="60" t="str">
        <x:v>review</x:v>
      </x:c>
      <x:c r="E115" s="60" t="str">
        <x:v>position paper; governance framework; related-work comparator</x:v>
      </x:c>
      <x:c r="F115" s="60" t="str">
        <x:v>review_only</x:v>
      </x:c>
      <x:c r="G115" s="60" t="str">
        <x:v>not an attack paper</x:v>
      </x:c>
      <x:c r="H115" s="60" t="str">
        <x:v>no</x:v>
      </x:c>
      <x:c r="I115" s="60" t="str">
        <x:v>varies across reviewed work</x:v>
      </x:c>
      <x:c r="J115" s="60" t="str">
        <x:v>prompt manipulation, coordination failure, privacy abuse, and tool misuse</x:v>
      </x:c>
      <x:c r="K115" s="60" t="str">
        <x:v>technical and organizational lifecycle controls</x:v>
      </x:c>
      <x:c r="L115" s="60" t="str">
        <x:v>varies</x:v>
      </x:c>
      <x:c r="M115" s="60" t="str">
        <x:v>agents; coordination; tools; data; ModelOps; lifecycle governance</x:v>
      </x:c>
      <x:c r="N115" s="60" t="str">
        <x:v>trust, privacy, security, explainability, and operational governance failure</x:v>
      </x:c>
      <x:c r="O115" s="60" t="str">
        <x:v>governance taxonomy, TRiSM adaptation, and research roadmap</x:v>
      </x:c>
    </x:row>
  </x:sheetData>
  <x:pageMargins left="0.7" right="0.7" top="0.75" bottom="0.75" header="0.3" footer="0.3"/>
  <x:tableParts count="1">
    <x:tablePart xmlns:r="http://schemas.openxmlformats.org/officeDocument/2006/relationships" r:id="R8e224fe2d3f349da"/>
  </x:tableParts>
</x:worksheet>
</file>

<file path=xl/worksheets/sheet5.xml><?xml version="1.0" encoding="utf-8"?>
<x:worksheet xmlns:x="http://schemas.openxmlformats.org/spreadsheetml/2006/main">
  <x:sheetFormatPr defaultRowHeight="15"/>
  <x:cols>
    <x:col min="1" max="1" width="8" hidden="0" customWidth="1"/>
    <x:col min="2" max="2" width="25" hidden="0" customWidth="1"/>
    <x:col min="3" max="3" width="45" hidden="0" customWidth="1"/>
    <x:col min="4" max="4" width="42" hidden="0" customWidth="1"/>
    <x:col min="5" max="5" width="46" hidden="0" customWidth="1"/>
    <x:col min="6" max="6" width="46" hidden="0" customWidth="1"/>
    <x:col min="7" max="7" width="52" hidden="0" customWidth="1"/>
    <x:col min="8" max="8" width="52" hidden="0" customWidth="1"/>
    <x:col min="9" max="9" width="48" hidden="0" customWidth="1"/>
    <x:col min="10" max="10" width="54" hidden="0" customWidth="1"/>
    <x:col min="11" max="11" width="55" hidden="0" customWidth="1"/>
    <x:col min="12" max="12" width="55" hidden="0" customWidth="1"/>
    <x:col min="13" max="13" width="55" hidden="0" customWidth="1"/>
    <x:col min="14" max="14" width="24" hidden="0" customWidth="1"/>
    <x:col min="15" max="15" width="34" hidden="0" customWidth="1"/>
  </x:cols>
  <x:sheetData>
    <x:row r="1" ht="34" customHeight="1">
      <x:c r="A1" s="53" t="str">
        <x:v>Priority</x:v>
      </x:c>
      <x:c r="B1" s="53" t="str">
        <x:v>Paper ID</x:v>
      </x:c>
      <x:c r="C1" s="53" t="str">
        <x:v>Agent Count / Configuration</x:v>
      </x:c>
      <x:c r="D1" s="53" t="str">
        <x:v>Topology</x:v>
      </x:c>
      <x:c r="E1" s="53" t="str">
        <x:v>Communication</x:v>
      </x:c>
      <x:c r="F1" s="53" t="str">
        <x:v>Baselines</x:v>
      </x:c>
      <x:c r="G1" s="53" t="str">
        <x:v>Metric Definition</x:v>
      </x:c>
      <x:c r="H1" s="53" t="str">
        <x:v>Unit / Denominator</x:v>
      </x:c>
      <x:c r="I1" s="53" t="str">
        <x:v>System-Level Impact Verified</x:v>
      </x:c>
      <x:c r="J1" s="53" t="str">
        <x:v>Evidence Locators</x:v>
      </x:c>
      <x:c r="K1" s="53" t="str">
        <x:v>Author Claim vs Corpus Interpretation</x:v>
      </x:c>
      <x:c r="L1" s="53" t="str">
        <x:v>Limitations / Maturity</x:v>
      </x:c>
      <x:c r="M1" s="53" t="str">
        <x:v>Required Corrections</x:v>
      </x:c>
      <x:c r="N1" s="53" t="str">
        <x:v>Outcome</x:v>
      </x:c>
      <x:c r="O1" s="53" t="str">
        <x:v>Review Status</x:v>
      </x:c>
    </x:row>
    <x:row r="2">
      <x:c r="A2" s="60" t="n">
        <x:v>1</x:v>
      </x:c>
      <x:c r="B2" s="60" t="str">
        <x:v>gu2024agent_smith</x:v>
      </x:c>
      <x:c r="C2" s="60" t="str">
        <x:v>LLaVA-1.5 agent population; randomized pairwise chats; simulated populations up to one million.</x:v>
      </x:c>
      <x:c r="D2" s="60" t="str">
        <x:v>Randomized pairwise interaction rather than a broad sweep of deployed topologies.</x:v>
      </x:c>
      <x:c r="E2" s="60" t="str"/>
      <x:c r="F2" s="60" t="str">
        <x:v>Noninfectious adversarial inputs and modeled alternative settings; exact baseline details should be cited from the experiment section when used.</x:v>
      </x:c>
      <x:c r="G2" s="60" t="str">
        <x:v>Infected population and propagation behavior over interaction rounds.</x:v>
      </x:c>
      <x:c r="H2" s="60" t="str">
        <x:v>Unit: Agent and population.; Denominator: Population size, with infection status defined by the paper.</x:v>
      </x:c>
      <x:c r="I2" s="60" t="str">
        <x:v>The paper demonstrates rapid population spread from a single seeded agent under its simulated interaction model. Do not turn the title claim into a statement about real deployed systems.</x:v>
      </x:c>
      <x:c r="J2" s="60" t="str">
        <x:v>Official PMLR abstract and paper record; paper Abstract and Introduction, PDF pp. 1 to 2; threat formulation and propagation analysis, PDF pp. 1 to 3.</x:v>
      </x:c>
      <x:c r="K2" s="60" t="str">
        <x:v>The seeded-image attack and simulated spread are author claims. Labeling the outcome F1 and interpreting it as a containment failure are corpus interpretations.</x:v>
      </x:c>
      <x:c r="L2" s="60" t="str">
        <x:v>Proof-of-concept simulation; one principal model family; randomized pairwise interaction; no evidence of real-world prevalence; practical defense construction remains open. Evidence maturity: Archival peer-reviewed primary evidence.</x:v>
      </x:c>
      <x:c r="M2" s="60" t="str">
        <x:v>See load-bearing correction log and detailed source review.</x:v>
      </x:c>
      <x:c r="N2" s="60" t="str">
        <x:v>ready_after_minor_patch</x:v>
      </x:c>
      <x:c r="O2" s="60" t="str">
        <x:v>source_reviewed_pending_author_signoff</x:v>
      </x:c>
    </x:row>
    <x:row r="3">
      <x:c r="A3" s="60" t="n">
        <x:v>2</x:v>
      </x:c>
      <x:c r="B3" s="60" t="str">
        <x:v>motwani2024secret_collusion</x:v>
      </x:c>
      <x:c r="C3" s="60" t="str">
        <x:v>Sender-receiver or multi-agent communication setups with an overseer and mitigation variants.</x:v>
      </x:c>
      <x:c r="D3" s="60" t="str">
        <x:v>Primarily communicating endpoints and monitored channels rather than broad population topology.</x:v>
      </x:c>
      <x:c r="E3" s="60" t="str"/>
      <x:c r="F3" s="60" t="str">
        <x:v>Overt communication and mitigation variants such as monitoring, paraphrasing, and parameter optimization.</x:v>
      </x:c>
      <x:c r="G3" s="60" t="str">
        <x:v>Coordination success, covert communication success, detectability, task performance, and scenario-specific secrecy or coupling measures.</x:v>
      </x:c>
      <x:c r="H3" s="60" t="str">
        <x:v>Unit: Communication episode, group, or task depending on experiment.; Denominator: Experiment-specific trials; there is no single paper-wide ASR denominator.</x:v>
      </x:c>
      <x:c r="I3" s="60" t="str">
        <x:v>The paper formalizes and demonstrates secret collusion and evaluates limits of several mitigations. It does not establish deployment prevalence or universal undetectability.</x:v>
      </x:c>
      <x:c r="J3" s="60" t="str">
        <x:v>Abstract, PDF p. 1; definition and threat model in Sec. 3.1, approximately PDF p. 4; monitor and decentralized-AI setting in Sec. 4; empirical metrics and evaluations in Secs. 5 and 6; mitigation discussion in Sec. 7.</x:v>
      </x:c>
      <x:c r="K3" s="60" t="str">
        <x:v>The existence of the steganographic setup, metrics, and evaluated mitigations are author claims. Choosing oversight failure as the primary SoK property is a corpus interpretation.</x:v>
      </x:c>
      <x:c r="L3" s="60" t="str">
        <x:v>Capability elicitation rather than prevalence; mixed single-model and multi-agent setups; detectability depends on observer and channel assumptions; no universal defense conclusion. Evidence maturity: Archival peer-reviewed primary evidence.</x:v>
      </x:c>
      <x:c r="M3" s="60" t="str">
        <x:v>See load-bearing correction log and detailed source review.</x:v>
      </x:c>
      <x:c r="N3" s="60" t="str">
        <x:v>ready_after_minor_patch</x:v>
      </x:c>
      <x:c r="O3" s="60" t="str">
        <x:v>source_reviewed_pending_author_signoff</x:v>
      </x:c>
    </x:row>
    <x:row r="4">
      <x:c r="A4" s="60" t="n">
        <x:v>3</x:v>
      </x:c>
      <x:c r="B4" s="60" t="str">
        <x:v>men2025troublemaker</x:v>
      </x:c>
      <x:c r="C4" s="60" t="str">
        <x:v>One attacker plus honest agents; line, star, and larger population settings, including a 100-agent experiment.</x:v>
      </x:c>
      <x:c r="D4" s="60" t="str">
        <x:v>Line, star, and other benchmarked structures; static experiment graphs.</x:v>
      </x:c>
      <x:c r="E4" s="60" t="str"/>
      <x:c r="F4" s="60" t="str">
        <x:v>Prior jailbreak or nonoptimized variants described in the paper.</x:v>
      </x:c>
      <x:c r="G4" s="60" t="str">
        <x:v>ASR by round, maximum ASR over rounds, and rounds to reach a target ASR.</x:v>
      </x:c>
      <x:c r="H4" s="60" t="str">
        <x:v>Unit: Agent-question pair and interaction round.; Denominator: The paper defines the round metric over agent by question cases, then reports the maximum over rounds for its summary ASR.</x:v>
      </x:c>
      <x:c r="I4" s="60" t="str">
        <x:v>Reported improvements of 23.51%, 18.95%, and 52.93% are setting-specific values. Do not silently relabel them as percentage-point improvements.</x:v>
      </x:c>
      <x:c r="J4" s="60" t="str">
        <x:v>Abstract, PDF p. 1; metric definition in Sec. 2.2, approximately PDF p. 3; experiment tables for topology and large-scale settings; abstract and result tables for the reported improvements.</x:v>
      </x:c>
      <x:c r="K4" s="60" t="str">
        <x:v>Attack construction and results are author claims. Cross-paper denominator incompatibility is a corpus interpretation.</x:v>
      </x:c>
      <x:c r="L4" s="60" t="str">
        <x:v>Maximum reported population is 100 in the empirical benchmark; fixed topologies; multiple-choice style memory tasks; limited model and deployment diversity. Evidence maturity: Archival peer-reviewed primary evidence.</x:v>
      </x:c>
      <x:c r="M4" s="60" t="str">
        <x:v>See load-bearing correction log and detailed source review.</x:v>
      </x:c>
      <x:c r="N4" s="60" t="str">
        <x:v>ready_after_minor_patch</x:v>
      </x:c>
      <x:c r="O4" s="60" t="str">
        <x:v>source_reviewed_pending_author_signoff</x:v>
      </x:c>
    </x:row>
    <x:row r="5">
      <x:c r="A5" s="60" t="n">
        <x:v>4</x:v>
      </x:c>
      <x:c r="B5" s="60" t="str">
        <x:v>cohen2025ai_worm</x:v>
      </x:c>
      <x:c r="C5" s="60" t="str">
        <x:v>End-to-end GenAI email assistant and RAG application ecosystem.</x:v>
      </x:c>
      <x:c r="D5" s="60" t="str">
        <x:v>Application and user communication chains rather than a canonical LLM-agent society topology.</x:v>
      </x:c>
      <x:c r="E5" s="60" t="str"/>
      <x:c r="F5" s="60" t="str">
        <x:v>Benign, attack, and defense configurations in the final paper.</x:v>
      </x:c>
      <x:c r="G5" s="60" t="str">
        <x:v>Propagation behavior, payload success, and defense true-positive, false-positive, and latency measures.</x:v>
      </x:c>
      <x:c r="H5" s="60" t="str">
        <x:v>Unit: Application or client, propagation event, and detector decision.; Denominator: Final-paper evaluation trials and clients. Do not import denominators from the preprint without checking the final paper.</x:v>
      </x:c>
      <x:c r="I5" s="60" t="str">
        <x:v>Use the final CCS values and names. The final paper reports super-linear propagation, a 20-new-client behavior within 1 to 3 days in its modeled scenario, and DonkeyRail TPR 1.0, FPR 0.017, and latency 7.6 to 38.3 ms. Do not mix these with preprint values or the earlier Morris-II and Virtual Donkey names.</x:v>
      </x:c>
      <x:c r="J5" s="60" t="str">
        <x:v>Final ACM record and CCS paper; preprint retained only for lineage. Cite final tables for propagation and DonkeyRail values. The current note's abstract-only locators are insufficient for quantitative use.</x:v>
      </x:c>
      <x:c r="K5" s="60" t="str">
        <x:v>Zero-click self-replication and measured defense results are author claims. Classifying the ecosystem as security_relevant rather than strict core MAS is a corpus decision.</x:v>
      </x:c>
      <x:c r="L5" s="60" t="str">
        <x:v>Laboratory ecosystem; broader GenAI applications rather than strict agent cores; result and terminology changed across versions; no evidence of prevalence in deployed ecosystems. Evidence maturity: Archival peer-reviewed evidence, with a materially different earlier preprint.</x:v>
      </x:c>
      <x:c r="M5" s="60" t="str">
        <x:v>See load-bearing correction log and detailed source review.</x:v>
      </x:c>
      <x:c r="N5" s="60" t="str">
        <x:v>ready_after_major_patch</x:v>
      </x:c>
      <x:c r="O5" s="60" t="str">
        <x:v>source_reviewed_pending_author_signoff</x:v>
      </x:c>
    </x:row>
    <x:row r="6">
      <x:c r="A6" s="60" t="n">
        <x:v>5</x:v>
      </x:c>
      <x:c r="B6" s="60" t="str">
        <x:v>ju2026flooding</x:v>
      </x:c>
      <x:c r="C6" s="60" t="str">
        <x:v>Simulated LLM-agent communities with communication and optional RAG persistence.</x:v>
      </x:c>
      <x:c r="D6" s="60" t="str">
        <x:v>Community interaction settings; exact final-paper topology details must be recoded from the journal PDF.</x:v>
      </x:c>
      <x:c r="E6" s="60" t="str"/>
      <x:c r="F6" s="60" t="str">
        <x:v>Attack variants and benign settings described in the final paper.</x:v>
      </x:c>
      <x:c r="G6" s="60" t="str">
        <x:v>Spread accuracy for counterfactual or toxic knowledge, interaction turns, agent-order or population effects, and RAG persistence.</x:v>
      </x:c>
      <x:c r="H6" s="60" t="str">
        <x:v>Unit: Agent response, knowledge item, or interaction turn depending on analysis.; Denominator: Must be copied from the final journal metric definitions and tables; the current record is too generic.</x:v>
      </x:c>
      <x:c r="I6" s="60" t="str">
        <x:v>The paper reports that manipulated knowledge can spread while preserving general capabilities and persist in retrieved histories. Exact numeric claims should wait for final-journal table verification.</x:v>
      </x:c>
      <x:c r="J6" s="60" t="str">
        <x:v>Abstract and Introduction, PDF pp. 1 to 2 of the accessible version; method in Sec. III; experiments in Sec. IV, especially the spread and RAG-persistence subsections. Recheck page and table numbers against the final journal PDF.</x:v>
      </x:c>
      <x:c r="K6" s="60" t="str">
        <x:v>The two-stage manipulation and persistence are author claims. The F3 primary label and F1 secondary label are corpus interpretations.</x:v>
      </x:c>
      <x:c r="L6" s="60" t="str">
        <x:v>Simulated community; predeployment model manipulation confounds a purely runtime attacker; static roles; final metadata and exact metric table locations remain unresolved. Evidence maturity: Peer-reviewed journal work, but canonical metadata and full-text locators are not yet frozen.</x:v>
      </x:c>
      <x:c r="M6" s="60" t="str">
        <x:v>See load-bearing correction log and detailed source review.</x:v>
      </x:c>
      <x:c r="N6" s="60" t="str">
        <x:v>pending_final_source_verification</x:v>
      </x:c>
      <x:c r="O6" s="60" t="str">
        <x:v>blocked_pending_exact_source</x:v>
      </x:c>
    </x:row>
    <x:row r="7">
      <x:c r="A7" s="60" t="n">
        <x:v>6</x:v>
      </x:c>
      <x:c r="B7" s="60" t="str">
        <x:v>wang2025gsafeguard</x:v>
      </x:c>
      <x:c r="C7" s="60" t="str">
        <x:v>Multiple LLM backbones, multi-agent workflows, scales, and graph-based attack settings.</x:v>
      </x:c>
      <x:c r="D7" s="60" t="str">
        <x:v>Dynamic utterance graph used as the analysis and intervention object.</x:v>
      </x:c>
      <x:c r="E7" s="60" t="str"/>
      <x:c r="F7" s="60" t="str">
        <x:v>Mainstream safeguards and attack conditions evaluated by the paper.</x:v>
      </x:c>
      <x:c r="G7" s="60" t="str">
        <x:v>Detection or security outcome plus recovered task performance.</x:v>
      </x:c>
      <x:c r="H7" s="60" t="str">
        <x:v>Unit: Agent, graph, and task.; Denominator: Experiment-specific agents or tasks; record exact table definitions for each claim.</x:v>
      </x:c>
      <x:c r="I7" s="60" t="str">
        <x:v>The abstract reports more than 40% recovery under prompt injection in evaluated settings. This is an empirical result, not a universal or formal security guarantee.</x:v>
      </x:c>
      <x:c r="J7" s="60" t="str">
        <x:v>Abstract, PDF p. 1; method sections defining the utterance graph and graph-neural detector; experiment result tables for the recovery claim; intervention section for edge or topology changes.</x:v>
      </x:c>
      <x:c r="K7" s="60" t="str">
        <x:v>Graph construction, defense, and recovery are author claims. The observation that applicability depends on global graph access is a corpus interpretation derived from method inputs.</x:v>
      </x:c>
      <x:c r="L7" s="60" t="str">
        <x:v>Requires central or near-global graph visibility, stable identities or message mapping, and authority to change edges; learned detector distribution may not transfer; category should not be coded primarily as attack. Evidence maturity: Archival peer-reviewed primary defense evidence.</x:v>
      </x:c>
      <x:c r="M7" s="60" t="str">
        <x:v>See load-bearing correction log and detailed source review.</x:v>
      </x:c>
      <x:c r="N7" s="60" t="str">
        <x:v>ready_after_major_patch</x:v>
      </x:c>
      <x:c r="O7" s="60" t="str">
        <x:v>source_reviewed_pending_author_signoff</x:v>
      </x:c>
    </x:row>
    <x:row r="8">
      <x:c r="A8" s="60" t="n">
        <x:v>7</x:v>
      </x:c>
      <x:c r="B8" s="60" t="str">
        <x:v>yu2025netsafe</x:v>
      </x:c>
      <x:c r="C8" s="60" t="str">
        <x:v>Multiple workflows, graph connectivity levels, system sizes, and per-round interactions.</x:v>
      </x:c>
      <x:c r="D8" s="60" t="str">
        <x:v>RelCom abstraction with multiple graph structures and scales.</x:v>
      </x:c>
      <x:c r="E8" s="60" t="str"/>
      <x:c r="F8" s="60" t="str">
        <x:v>Alternative topologies and benign versus attacked conditions.</x:v>
      </x:c>
      <x:c r="G8" s="60" t="str">
        <x:v>Per-agent and aggregate joint accuracy or safety outcomes by round and topology.</x:v>
      </x:c>
      <x:c r="H8" s="60" t="str">
        <x:v>Unit: Agent, round, and task.; Denominator: Per-agent or aggregate task cases as defined in each experiment.</x:v>
      </x:c>
      <x:c r="I8" s="60" t="str">
        <x:v>The reported 29.7% star-topology decrease is a relative task-performance decrease in a specific setting. It is not a universal severity figure or necessarily a percentage-point change.</x:v>
      </x:c>
      <x:c r="J8" s="60" t="str">
        <x:v>Abstract and framework, PDF pp. 1 to 3; result sections naming Agent Hallucination, Aggregation Safety, and Security Bottleneck; exact result table for the 29.7% setting; limitations section.</x:v>
      </x:c>
      <x:c r="K8" s="60" t="str">
        <x:v>RelCom, phenomena, and setting-specific numbers are author claims. Treating the artifact as benchmark/evaluation and splitting security from adjacent claims are corpus decisions.</x:v>
      </x:c>
      <x:c r="L8" s="60" t="str">
        <x:v>Authors note that RelCom may not capture system-specific designs and that privacy and security are not comprehensively covered; topology effects can interact with prompt, model, and compute changes. Evidence maturity: Archival peer-reviewed mixed safety and security evidence.</x:v>
      </x:c>
      <x:c r="M8" s="60" t="str">
        <x:v>See load-bearing correction log and detailed source review.</x:v>
      </x:c>
      <x:c r="N8" s="60" t="str">
        <x:v>ready_after_major_patch</x:v>
      </x:c>
      <x:c r="O8" s="60" t="str">
        <x:v>source_reviewed_pending_author_signoff</x:v>
      </x:c>
    </x:row>
    <x:row r="9">
      <x:c r="A9" s="60" t="n">
        <x:v>8</x:v>
      </x:c>
      <x:c r="B9" s="60" t="str">
        <x:v>zhou2026corba</x:v>
      </x:c>
      <x:c r="C9" s="60" t="str">
        <x:v>Multiple LLMs and communication topologies with interacting agents.</x:v>
      </x:c>
      <x:c r="D9" s="60" t="str">
        <x:v>Multiple static topologies, including random entry and repeated runs.</x:v>
      </x:c>
      <x:c r="E9" s="60" t="str"/>
      <x:c r="F9" s="60" t="str">
        <x:v>Existing attacks and conventional content-level safety alignment.</x:v>
      </x:c>
      <x:c r="G9" s="60" t="str">
        <x:v>P-ASR and peak-blocking-turn style measures.</x:v>
      </x:c>
      <x:c r="H9" s="60" t="str">
        <x:v>Unit: Agent and interaction turn.; Denominator: P-ASR equals blocked agents divided by total agents in the network.</x:v>
      </x:c>
      <x:c r="I9" s="60" t="str">
        <x:v>CORBA produces denial of collaboration in evaluated settings and bypasses content guardrails because the recursive text can be semantically benign.</x:v>
      </x:c>
      <x:c r="J9" s="60" t="str">
        <x:v>Abstract and threat model, PDF p. 1 onward; metric definition and experiment tables, including topology results and repeated-run description; defense comparison section.</x:v>
      </x:c>
      <x:c r="K9" s="60" t="str">
        <x:v>DoC, CORBA, and P-ASR are author claims. Coding recursion as a mechanism and F7 as the primary property is a corpus interpretation.</x:v>
      </x:c>
      <x:c r="L9" s="60" t="str">
        <x:v>Small or static topologies; blocked-agent fraction and turns are proxies rather than monetary or token cost; no full recovery or post-incident cleanup evaluation. Evidence maturity: Archival peer-reviewed primary attack evidence.</x:v>
      </x:c>
      <x:c r="M9" s="60" t="str">
        <x:v>See load-bearing correction log and detailed source review.</x:v>
      </x:c>
      <x:c r="N9" s="60" t="str">
        <x:v>ready_after_minor_patch</x:v>
      </x:c>
      <x:c r="O9" s="60" t="str">
        <x:v>source_reviewed_pending_author_signoff</x:v>
      </x:c>
    </x:row>
    <x:row r="10">
      <x:c r="A10" s="60" t="n">
        <x:v>9</x:v>
      </x:c>
      <x:c r="B10" s="60" t="str">
        <x:v>mathew2025hidden</x:v>
      </x:c>
      <x:c r="C10" s="60" t="str">
        <x:v>Sender-receiver agents, frontier LLMs, reward optimization, oversight and paraphrasing conditions.</x:v>
      </x:c>
      <x:c r="D10" s="60" t="str">
        <x:v>Primarily paired communication rather than broad multi-node topology.</x:v>
      </x:c>
      <x:c r="E10" s="60" t="str"/>
      <x:c r="F10" s="60" t="str">
        <x:v>Passive oversight, active paraphrasing, and noncollusive or alternative elicitation conditions.</x:v>
      </x:c>
      <x:c r="G10" s="60" t="str">
        <x:v>Task Success, Decoding Success, Sender Task Success, Overseer Bypass Success, Collusion Success, and channel capacity.</x:v>
      </x:c>
      <x:c r="H10" s="60" t="str">
        <x:v>Unit: Communication episode or request.; Denominator: Task or episode trials defined per metric; there is no single universal ASR.</x:v>
      </x:c>
      <x:c r="I10" s="60" t="str">
        <x:v>The paper shows that the chosen optimization procedures can elicit steganographic communication and that tested oversight and paraphrasing are incomplete in those settings.</x:v>
      </x:c>
      <x:c r="J10" s="60" t="str">
        <x:v>Abstract and Introduction, PDF pp. 1 to 2; metric definitions around PDF p. 3; experiment and mitigation sections; limitations or discussion.</x:v>
      </x:c>
      <x:c r="K10" s="60" t="str">
        <x:v>The elicited behavior and metric results are author claims. Interpreting them as evidence about a global observation contract is a corpus synthesis.</x:v>
      </x:c>
      <x:c r="L10" s="60" t="str">
        <x:v>Model-organism and elicitation setting; not evidence of spontaneous deployment prevalence; simplified tasks; mitigation comparisons may use fixed or weaker monitors; no universal impossibility result. Evidence maturity: Archival peer-reviewed primary evidence.</x:v>
      </x:c>
      <x:c r="M10" s="60" t="str">
        <x:v>See load-bearing correction log and detailed source review.</x:v>
      </x:c>
      <x:c r="N10" s="60" t="str">
        <x:v>ready_after_major_patch</x:v>
      </x:c>
      <x:c r="O10" s="60" t="str">
        <x:v>source_reviewed_pending_author_signoff</x:v>
      </x:c>
    </x:row>
    <x:row r="11">
      <x:c r="A11" s="60" t="n">
        <x:v>10</x:v>
      </x:c>
      <x:c r="B11" s="60" t="str">
        <x:v>hu2026lying_truths</x:v>
      </x:c>
      <x:c r="C11" s="60" t="str">
        <x:v>Coalition attackers, victim belief agents, downstream judge agents, and 14 proprietary and open-weight model families.</x:v>
      </x:c>
      <x:c r="D11" s="60" t="str">
        <x:v>Fixed writer-editor-director attack pipeline plus victim and judge stages.</x:v>
      </x:c>
      <x:c r="E11" s="60" t="str"/>
      <x:c r="F11" s="60" t="str">
        <x:v>Base prompts, reasoning variants, alternate constructions, and model families.</x:v>
      </x:c>
      <x:c r="G11" s="60" t="str">
        <x:v>Victim attack success and downstream deception rate.</x:v>
      </x:c>
      <x:c r="H11" s="60" t="str">
        <x:v>Unit: Rumor-event case or victim/judge decision.; Denominator: CoPHEME cases used in each evaluated split.</x:v>
      </x:c>
      <x:c r="I11" s="60" t="str">
        <x:v>The authors report peak victim ASR of 74.4% for proprietary and 70.6% for open-weight models, with downstream deception above 60% in evaluated settings.</x:v>
      </x:c>
      <x:c r="J11" s="60" t="str">
        <x:v>Secs. 1 and 3, PDF pp. 1 to 6 for threat and method; Sec. 4, PDF pp. 6 to 8 for CoPHEME; Sec. 5, PDF pp. 8 to 12 for main result and propagation tables.</x:v>
      </x:c>
      <x:c r="K11" s="60" t="str">
        <x:v>Open-channel truthful-fragment attack, role pipeline, dataset, and results are author claims. Labeling it F4 and using it as an observer-scope example are corpus interpretations.</x:v>
      </x:c>
      <x:c r="L11" s="60" t="str">
        <x:v>Fixed attack pipeline; curated rumor events; simulated open channel; no live open-agent network; model susceptibility results are setting-specific. Evidence maturity: Archival peer-reviewed primary attack evidence.</x:v>
      </x:c>
      <x:c r="M11" s="60" t="str">
        <x:v>See load-bearing correction log and detailed source review.</x:v>
      </x:c>
      <x:c r="N11" s="60" t="str">
        <x:v>ready_after_minor_patch</x:v>
      </x:c>
      <x:c r="O11" s="60" t="str">
        <x:v>source_reviewed_pending_author_signoff</x:v>
      </x:c>
    </x:row>
    <x:row r="12">
      <x:c r="A12" s="60" t="n">
        <x:v>11</x:v>
      </x:c>
      <x:c r="B12" s="60" t="str">
        <x:v>huang2026whispering_agents</x:v>
      </x:c>
      <x:c r="C12" s="60" t="str">
        <x:v>Paired LLM endpoints under multiple channel combinations and passive wardens.</x:v>
      </x:c>
      <x:c r="D12" s="60" t="str">
        <x:v>Two communicating endpoints rather than a population topology.</x:v>
      </x:c>
      <x:c r="E12" s="60" t="str"/>
      <x:c r="F12" s="60" t="str">
        <x:v>Single-dimension covert channels and benign conversations.</x:v>
      </x:c>
      <x:c r="G12" s="60" t="str">
        <x:v>Effective bits per round, total capacity, bit error or robustness, statistical AUC, and LLM-warden detection outcomes.</x:v>
      </x:c>
      <x:c r="H12" s="60" t="str">
        <x:v>Unit: Communication round, bit, or dialogue.; Denominator: Rounds or dialogue instances, depending on metric.</x:v>
      </x:c>
      <x:c r="I12" s="60" t="str">
        <x:v>Combined event channels improve usable capacity in tested settings and selected wardens remain weak. This does not establish general undetectability.</x:v>
      </x:c>
      <x:c r="J12" s="60" t="str">
        <x:v>Covert Event Channel Sec., PDF pp. 3 to 4 and Fig. 2; protocol design, PDF pp. 4 to 5 and Algorithm 1; capacity and robustness, PDF pp. 6 to 7 and Tables 1 to 2; invisibility evaluation, PDF pp. 7 to 8 and Fig. 3/Table 3; limitations, PDF p. 8.</x:v>
      </x:c>
      <x:c r="K12" s="60" t="str">
        <x:v>Channel construction, capacity, and evaluated wardens are author claims. Coding it as security_relevant and dual-use rather than a core attack is a corpus decision.</x:v>
      </x:c>
      <x:c r="L12" s="60" t="str">
        <x:v>Shared keys, passive adversary, selected models and topics, paired agents, no adaptive warden, no prevalence or universal-undetectability claim. Evidence maturity: Archival peer-reviewed protocol and evaluation evidence.</x:v>
      </x:c>
      <x:c r="M12" s="60" t="str">
        <x:v>See load-bearing correction log and detailed source review.</x:v>
      </x:c>
      <x:c r="N12" s="60" t="str">
        <x:v>ready_after_major_patch</x:v>
      </x:c>
      <x:c r="O12" s="60" t="str">
        <x:v>source_reviewed_pending_author_signoff</x:v>
      </x:c>
    </x:row>
    <x:row r="13">
      <x:c r="A13" s="60" t="n">
        <x:v>12</x:v>
      </x:c>
      <x:c r="B13" s="60" t="str">
        <x:v>wang2026masleak</x:v>
      </x:c>
      <x:c r="C13" s="60" t="str">
        <x:v>810 synthetic MAS applications plus selected Coze and CrewAI systems; 3 to 6 agents and five topologies in the synthetic corpus.</x:v>
      </x:c>
      <x:c r="D13" s="60" t="str">
        <x:v>Multiple generated architecture patterns and real platform cases.</x:v>
      </x:c>
      <x:c r="E13" s="60" t="str"/>
      <x:c r="F13" s="60" t="str">
        <x:v>Extraction variants and component-specific baselines described in the paper.</x:v>
      </x:c>
      <x:c r="G13" s="60" t="str">
        <x:v>F1 for agent count, semantic or substring match for prompts and instructions, binary tool hit, graph-edit similarity for topology, and an extraction-rate aggregate over seven components.</x:v>
      </x:c>
      <x:c r="H13" s="60" t="str">
        <x:v>Unit: Application and protected component.; Denominator: Components or applications relevant to each metric. The aggregate ER is an average of seven component measures, not one universal ASR.</x:v>
      </x:c>
      <x:c r="I13" s="60" t="str">
        <x:v>The official abstract reports average success of 87% for prompts or instructions and 92% for architecture in most evaluated cases. Keep component-specific measures separate.</x:v>
      </x:c>
      <x:c r="J13" s="60" t="str">
        <x:v>Official USENIX record and arXiv full paper; abstract for black-box model and corpus size; method and metric sections for the seven measures; main tables for 87% and 92% results.</x:v>
      </x:c>
      <x:c r="K13" s="60" t="str">
        <x:v>Threat model, dataset, and component extraction results are author claims. Calling it cross-principal confidentiality is a corpus interpretation.</x:v>
      </x:c>
      <x:c r="L13" s="60" t="str">
        <x:v>Many applications are synthetic; selected platforms; potential defenses are discussed rather than comprehensively evaluated; architectural leakage and prompt leakage use different metrics. Evidence maturity: Archival peer-reviewed primary attack and benchmark evidence.</x:v>
      </x:c>
      <x:c r="M13" s="60" t="str">
        <x:v>See load-bearing correction log and detailed source review.</x:v>
      </x:c>
      <x:c r="N13" s="60" t="str">
        <x:v>ready_after_minor_patch</x:v>
      </x:c>
      <x:c r="O13" s="60" t="str">
        <x:v>source_reviewed_pending_author_signoff</x:v>
      </x:c>
    </x:row>
    <x:row r="14">
      <x:c r="A14" s="60" t="n">
        <x:v>13</x:v>
      </x:c>
      <x:c r="B14" s="60" t="str">
        <x:v>liu2026topology_memory</x:v>
      </x:c>
      <x:c r="C14" s="60" t="str">
        <x:v>GPT-4o-mini and Llama-3.1-70B networks; 4, 5, or 6 agents; one target and one attacker; ten communication rounds.</x:v>
      </x:c>
      <x:c r="D14" s="60" t="str">
        <x:v>Complete, circle, chain, tree, star, and star-ring; varied attacker-target placement.</x:v>
      </x:c>
      <x:c r="E14" s="60" t="str"/>
      <x:c r="F14" s="60" t="str">
        <x:v>Cross-topology, placement, agent-count, round-count, PII-category, and model comparisons.</x:v>
      </x:c>
      <x:c r="G14" s="60" t="str">
        <x:v>Exact-match-plus-LLM-inference leakage rate, ever-leaked entities, and temporal diffusion.</x:v>
      </x:c>
      <x:c r="H14" s="60" t="str">
        <x:v>Unit: PII entity and trace or configuration.; Denominator: Seeded protected PII entities or evaluated traces, as defined by each result.</x:v>
      </x:c>
      <x:c r="I14" s="60" t="str">
        <x:v>Dense graphs and central placements often leak more, while much leakage appears early. Absolute levels and some topology rankings vary by model and should not be universalized.</x:v>
      </x:c>
      <x:c r="J14" s="60" t="str">
        <x:v>Secs. 3.1 to 3.3, PDF pp. 3 to 6 and Fig. 1/Table 1 for state, roles, and six topologies; Sec. 4, PDF pp. 7 to 9, Tables 2 to 3 and Figs. 2 to 3 for leakage and temporal results; limitations, PDF p. 9.</x:v>
      </x:c>
      <x:c r="K14" s="60" t="str">
        <x:v>Topology setup, metrics, and reported trends are author claims. Assigning F2 as the primary property and indexing it as benchmark/evaluation are corpus decisions.</x:v>
      </x:c>
      <x:c r="L14" s="60" t="str">
        <x:v>Synthetic PII; fixed ten rounds; one attacker; text-only synchronous communication; six static topologies; LLM judge in metric pipeline. Evidence maturity: Archival peer-reviewed benchmark and evaluation evidence.</x:v>
      </x:c>
      <x:c r="M14" s="60" t="str">
        <x:v>See load-bearing correction log and detailed source review.</x:v>
      </x:c>
      <x:c r="N14" s="60" t="str">
        <x:v>ready_after_major_patch</x:v>
      </x:c>
      <x:c r="O14" s="60" t="str">
        <x:v>source_reviewed_pending_author_signoff</x:v>
      </x:c>
    </x:row>
    <x:row r="15">
      <x:c r="A15" s="60" t="n">
        <x:v>14</x:v>
      </x:c>
      <x:c r="B15" s="60" t="str">
        <x:v>he2025communication_attacks</x:v>
      </x:c>
      <x:c r="C15" s="60" t="str">
        <x:v>Multiple MAS frameworks, communication structures, roles, and application tasks.</x:v>
      </x:c>
      <x:c r="D15" s="60" t="str">
        <x:v>Chain, tree, complete, random, and framework-specific structures in evaluation.</x:v>
      </x:c>
      <x:c r="E15" s="60" t="str"/>
      <x:c r="F15" s="60" t="str">
        <x:v>Communication-attack variants and direct or prior adversarial strategies.</x:v>
      </x:c>
      <x:c r="G15" s="60" t="str">
        <x:v>Whole-dataset ASR for targeted behavior or denial-of-service outcomes.</x:v>
      </x:c>
      <x:c r="H15" s="60" t="str">
        <x:v>Unit: Task instance.; Denominator: All evaluated dataset instances for a setting.</x:v>
      </x:c>
      <x:c r="I15" s="60" t="str">
        <x:v>The paper demonstrates cross-framework and cross-structure vulnerability in its evaluated tasks. Feasibility does not automatically transfer to authenticated or integrity-protected channels.</x:v>
      </x:c>
      <x:c r="J15" s="60" t="str">
        <x:v>Abstract and threat model, PDF pp. 1 to 3 and Fig. 1; metric definition in Sec. 4.1, approximately PDF p. 5; evaluation tables for framework, structure, and application results; limitations section.</x:v>
      </x:c>
      <x:c r="K15" s="60" t="str">
        <x:v>AiTM construction, ASR, and evaluated results are author claims. The authenticated-channel caveat and F3/F4 mapping are corpus interpretations.</x:v>
      </x:c>
      <x:c r="L15" s="60" t="str">
        <x:v>Black-box model access; selected frameworks and tasks; public subset of SoftwareDev; assumed message-path access; no universal claim for integrity-protected protocols. Evidence maturity: Archival peer-reviewed primary attack evidence.</x:v>
      </x:c>
      <x:c r="M15" s="60" t="str">
        <x:v>See load-bearing correction log and detailed source review.</x:v>
      </x:c>
      <x:c r="N15" s="60" t="str">
        <x:v>ready_after_minor_patch</x:v>
      </x:c>
      <x:c r="O15" s="60" t="str">
        <x:v>source_reviewed_pending_author_signoff</x:v>
      </x:c>
    </x:row>
    <x:row r="16">
      <x:c r="A16" s="60" t="n">
        <x:v>15</x:v>
      </x:c>
      <x:c r="B16" s="60" t="str">
        <x:v>liu2025collective_manipulation</x:v>
      </x:c>
      <x:c r="C16" s="60" t="str">
        <x:v>Multiple LLM backbones and collaboration sizes, including experiments scaling to 101 agents.</x:v>
      </x:c>
      <x:c r="D16" s="60" t="str">
        <x:v>Communication and majority aggregation settings specified by the paper.</x:v>
      </x:c>
      <x:c r="E16" s="60" t="str"/>
      <x:c r="F16" s="60" t="str">
        <x:v>Individual-target adversarial attacks without group-interaction simulation and evaluated mitigation variants.</x:v>
      </x:c>
      <x:c r="G16" s="60" t="str">
        <x:v>Targeted and untargeted collective attack success, transferability, and clean-task performance.</x:v>
      </x:c>
      <x:c r="H16" s="60" t="str">
        <x:v>Unit: Task and final group decision.; Denominator: Evaluated tasks across three seeds; targeted success uses all-agree for two agents or majority target output for larger groups.</x:v>
      </x:c>
      <x:c r="I16" s="60" t="str">
        <x:v>M-Spoiler outperforms attacks optimized only for the individual target in evaluated tasks and transfers under incomplete system knowledge.</x:v>
      </x:c>
      <x:c r="J16" s="60" t="str">
        <x:v>Threat model and incomplete-information game in Sec. 3, PDF pp. 3 to 5; stubborn proxy in Sec. 4, PDF pp. 5 to 7; main result tables in Sec. 5, PDF pp. 7 to 10; metric definition and three-seed reporting in evaluation.</x:v>
      </x:c>
      <x:c r="K16" s="60" t="str">
        <x:v>Threat model, method, and task decision results are author claims. The statement that this is not formal Byzantine agreement is a corpus interpretation based on the correctness predicate.</x:v>
      </x:c>
      <x:c r="L16" s="60" t="str">
        <x:v>Simplified collaboration and measurable-answer tasks; majority voting; open-ended systems less clear; no classical agreement, validity, or termination guarantee. Evidence maturity: Archival peer-reviewed primary attack evidence.</x:v>
      </x:c>
      <x:c r="M16" s="60" t="str">
        <x:v>See load-bearing correction log and detailed source review.</x:v>
      </x:c>
      <x:c r="N16" s="60" t="str">
        <x:v>ready_after_minor_patch</x:v>
      </x:c>
      <x:c r="O16" s="60" t="str">
        <x:v>source_reviewed_pending_author_signoff</x:v>
      </x:c>
    </x:row>
    <x:row r="17">
      <x:c r="A17" s="60" t="n">
        <x:v>16</x:v>
      </x:c>
      <x:c r="B17" s="60" t="str">
        <x:v>zheng2026byzantine_reliability</x:v>
      </x:c>
      <x:c r="C17" s="60" t="str">
        <x:v>Seven nodes, six topologies, Byzantine count varied from one to six, GSM8K and XSTest.</x:v>
      </x:c>
      <x:c r="D17" s="60" t="str">
        <x:v>Six representative fixed network structures.</x:v>
      </x:c>
      <x:c r="E17" s="60" t="str"/>
      <x:c r="F17" s="60" t="str">
        <x:v>Traditional deterministic nodes, unweighted aggregation, and prompt-level or hidden-state confidence variants.</x:v>
      </x:c>
      <x:c r="G17" s="60" t="str">
        <x:v>Task accuracy and reported reliability accuracy.</x:v>
      </x:c>
      <x:c r="H17" s="60" t="str">
        <x:v>Unit: Task instance under a fault configuration.; Denominator: GSM8K or XSTest examples in each experiment.</x:v>
      </x:c>
      <x:c r="I17" s="60" t="str">
        <x:v>The reported 85.7% fault rate corresponds to six of seven faulty nodes in an oracle-scored task-accuracy experiment. It is not a theorem exceeding the classical asynchronous Byzantine agreement bound.</x:v>
      </x:c>
      <x:c r="J17" s="60" t="str">
        <x:v>Pilot experiment, PDF pp. 2 to 3, Table 1 and Fig. 2; datasets and metrics, PDF pp. 2 and 5; method, PDF pp. 3 to 5 and Fig. 3; experimental setting, PDF p. 5 and Fig. 2/Table 2; result tables, PDF pp. 5 to 7.</x:v>
      </x:c>
      <x:c r="K17" s="60" t="str">
        <x:v>Seven-node experiments, CP-WBFT, and task accuracy are author claims. The explicit distinction from classical agreement, validity, and termination is a corpus interpretation.</x:v>
      </x:c>
      <x:c r="L17" s="60" t="str">
        <x:v>Two datasets; fixed seven-node graphs; trusted coordinator and confidence probe; task accuracy rather than formal consensus; no open membership or protocol theorem. Evidence maturity: Archival peer-reviewed evaluation and defense evidence.</x:v>
      </x:c>
      <x:c r="M17" s="60" t="str">
        <x:v>See load-bearing correction log and detailed source review.</x:v>
      </x:c>
      <x:c r="N17" s="60" t="str">
        <x:v>ready_after_major_patch</x:v>
      </x:c>
      <x:c r="O17" s="60" t="str">
        <x:v>source_reviewed_pending_author_signoff</x:v>
      </x:c>
    </x:row>
    <x:row r="18">
      <x:c r="A18" s="60" t="n">
        <x:v>17</x:v>
      </x:c>
      <x:c r="B18" s="60" t="str">
        <x:v>triedman2025malicious_code</x:v>
      </x:c>
      <x:c r="C18" s="60" t="str">
        <x:v>AutoGen, CrewAI, MetaGPT, and selected models and orchestrators in lab or container settings.</x:v>
      </x:c>
      <x:c r="D18" s="60" t="str">
        <x:v>Framework-specific orchestrated specialist-agent workflows.</x:v>
      </x:c>
      <x:c r="E18" s="60" t="str"/>
      <x:c r="F18" s="60" t="str">
        <x:v>Direct and indirect prompt-injection baselines and framework-level mitigations.</x:v>
      </x:c>
      <x:c r="G18" s="60" t="str">
        <x:v>Trial-level attack success and successful unsafe or code invocation.</x:v>
      </x:c>
      <x:c r="H18" s="60" t="str">
        <x:v>Unit: Attack trial and framework/model configuration.; Denominator: Trials for each framework, model, and attack scenario.</x:v>
      </x:c>
      <x:c r="I18" s="60" t="str">
        <x:v>Setting-specific successes include high rates across several orchestrators and models. Every numeric claim must be copied from its exact table rather than summarized as universal arbitrary-code reliability.</x:v>
      </x:c>
      <x:c r="J18" s="60" t="str">
        <x:v>Abstract and Introduction, PDF pp. 1 to 2; attack design and system diagrams, PDF p. 2 onward; framework/model result tables; mitigation analysis.</x:v>
      </x:c>
      <x:c r="K18" s="60" t="str">
        <x:v>Control-flow hijacking and measured unsafe invocations are author claims. Classifying the system consequence as F6 authority integrity is a corpus interpretation.</x:v>
      </x:c>
      <x:c r="L18" s="60" t="str">
        <x:v>Three principal frameworks; selected models and orchestrators; enabled unsafe functions; laboratory or container deployment; exploitability depends strongly on routing architecture. Evidence maturity: Archival peer-reviewed primary attack evidence.</x:v>
      </x:c>
      <x:c r="M18" s="60" t="str">
        <x:v>See load-bearing correction log and detailed source review.</x:v>
      </x:c>
      <x:c r="N18" s="60" t="str">
        <x:v>ready_after_minor_patch</x:v>
      </x:c>
      <x:c r="O18" s="60" t="str">
        <x:v>source_reviewed_pending_author_signoff</x:v>
      </x:c>
    </x:row>
    <x:row r="19">
      <x:c r="A19" s="60" t="n">
        <x:v>18</x:v>
      </x:c>
      <x:c r="B19" s="60" t="str">
        <x:v>arif2026conjunctive</x:v>
      </x:c>
      <x:c r="C19" s="60" t="str">
        <x:v>Client plus remote agents under star, chain, and DAG topologies.</x:v>
      </x:c>
      <x:c r="D19" s="60" t="str">
        <x:v>Star, chain, DAG.</x:v>
      </x:c>
      <x:c r="E19" s="60" t="str"/>
      <x:c r="F19" s="60" t="str">
        <x:v>Clean, key-only, template-only, both-fragment, nonoptimized attacks, local guards, and tool restrictions.</x:v>
      </x:c>
      <x:c r="G19" s="60" t="str">
        <x:v>ASR and false activation across topologies and control conditions.</x:v>
      </x:c>
      <x:c r="H19" s="60" t="str">
        <x:v>Unit: Attack scenario or routed task.; Denominator: Evaluated scenarios for each topology and fragment condition.</x:v>
      </x:c>
      <x:c r="I19" s="60" t="str">
        <x:v>Routing-aware optimization improves attack success while maintaining low false activation in evaluated configurations.</x:v>
      </x:c>
      <x:c r="J19" s="60" t="str">
        <x:v>Abstract, PDF p. 1; threat model and routing composition, PDF p. 1 onward; experimental tables for clean, single-fragment, and combined conditions; topology tables for star, chain, and DAG.</x:v>
      </x:c>
      <x:c r="K19" s="60" t="str">
        <x:v>Two-fragment construction, attacker constraints, topologies, and metrics are author claims. F3 versus F6 classification is a corpus judgment.</x:v>
      </x:c>
      <x:c r="L19" s="60" t="str">
        <x:v>Bounded static topologies; abstracted or probabilistic routing; selected guards; no production router, dynamic membership, or broad authorization model. Evidence maturity: Archival peer-reviewed primary attack evidence.</x:v>
      </x:c>
      <x:c r="M19" s="60" t="str">
        <x:v>See load-bearing correction log and detailed source review.</x:v>
      </x:c>
      <x:c r="N19" s="60" t="str">
        <x:v>ready_after_major_patch</x:v>
      </x:c>
      <x:c r="O19" s="60" t="str">
        <x:v>source_reviewed_pending_author_signoff</x:v>
      </x:c>
    </x:row>
    <x:row r="20">
      <x:c r="A20" s="60" t="n">
        <x:v>19</x:v>
      </x:c>
      <x:c r="B20" s="60" t="str">
        <x:v>zhao2026parasites</x:v>
      </x:c>
      <x:c r="C20" s="60" t="str">
        <x:v>1,360 public MCP servers containing 12,230 tools, plus end-to-end demonstrations across selected LLM hosts.</x:v>
      </x:c>
      <x:c r="D20" s="60" t="str">
        <x:v>Host-tool and server composition graph rather than a multi-agent population graph.</x:v>
      </x:c>
      <x:c r="E20" s="60" t="str"/>
      <x:c r="F20" s="60" t="str">
        <x:v>Component-level security analysis, traditional prompt-injection framing, and end-to-end attack variants.</x:v>
      </x:c>
      <x:c r="G20" s="60" t="str">
        <x:v>Capability-gadget prevalence and separately measured end-to-end attack success.</x:v>
      </x:c>
      <x:c r="H20" s="60" t="str">
        <x:v>Unit: Tool, server, or end-to-end exploit chain.; Denominator: 12,230 tools and 1,360 servers for the census; separate trial denominators for demonstrations.</x:v>
      </x:c>
      <x:c r="I20" s="60" t="str">
        <x:v>The census identifies 1,062 tools and 370 servers with capabilities relevant to the modeled attack. This is not the same as successful exploitation of all those tools or servers.</x:v>
      </x:c>
      <x:c r="J20" s="60" t="str">
        <x:v>Abstract and attack workflow, PDF p. 1 onward; attack stages in Secs. 2 to 3; census methods and tables; result tables for 1,062 tools and 370 servers; final IEEE metadata record.</x:v>
      </x:c>
      <x:c r="K20" s="60" t="str">
        <x:v>Tool and server census and demonstrated attack chains are author claims. Scope downgrade and F6/F2 mapping are corpus interpretations.</x:v>
      </x:c>
      <x:c r="L20" s="60" t="str">
        <x:v>Host-tool rather than strict multi-agent boundary; public registry sampling; inaccessible servers and token barriers; LLM-assisted classification plus manual checks; capability presence is not exploit prevalence. Evidence maturity: Archival peer-reviewed systems-security evidence, adjacent to strict LLM-MAS scope.</x:v>
      </x:c>
      <x:c r="M20" s="60" t="str">
        <x:v>See load-bearing correction log and detailed source review.</x:v>
      </x:c>
      <x:c r="N20" s="60" t="str">
        <x:v>ready_after_major_patch</x:v>
      </x:c>
      <x:c r="O20" s="60" t="str">
        <x:v>source_reviewed_pending_author_signoff</x:v>
      </x:c>
    </x:row>
    <x:row r="21">
      <x:c r="A21" s="60" t="n">
        <x:v>20</x:v>
      </x:c>
      <x:c r="B21" s="60" t="str">
        <x:v>li2026a2asecbench</x:v>
      </x:c>
      <x:c r="C21" s="60" t="str">
        <x:v>Official A2A demos in travel, healthcare, and finance through a dynamic adapter; deterministic offline and optional LLM-backed SUTs in the released repository.</x:v>
      </x:c>
      <x:c r="D21" s="60" t="str">
        <x:v>Client-to-remote-agent A2A interactions and task lifecycle rather than a generic graph benchmark.</x:v>
      </x:c>
      <x:c r="E21" s="60" t="str"/>
      <x:c r="F21" s="60" t="str">
        <x:v>Matched benign controls and default safeguard behavior; release includes deterministic offline baselines.</x:v>
      </x:c>
      <x:c r="G21" s="60" t="str">
        <x:v>Attack or safety outcome plus benign utility or helpfulness; Capability Cloaking also reports label accuracy and evidence quality.</x:v>
      </x:c>
      <x:c r="H21" s="60" t="str">
        <x:v>Unit: Benchmark case and SUT trial.; Denominator: Repository release includes 100 AgentCard Spoofing cases and 100 cases for each Capability Cloaking split; other executable families have attack cases and matched controls.</x:v>
      </x:c>
      <x:c r="I21" s="60" t="str">
        <x:v>Official materials state that the six attack families bypass default safeguards in evaluated demos. Exact paper table values and full denominators must be copied from the final PDF before any quantitative manuscript claim.</x:v>
      </x:c>
      <x:c r="J21" s="60" t="str">
        <x:v>Official ICLR 2026 poster record; project README for the seven listed benchmark rows, release-case counts, matched controls, deterministic baselines, and output schema. Exact paper page and table references remain unresolved.</x:v>
      </x:c>
      <x:c r="K21" s="60" t="str">
        <x:v>Benchmark attacks, release structure, and official program status are author or official-project claims. Taxonomic mapping is a corpus interpretation.</x:v>
      </x:c>
      <x:c r="L21" s="60" t="str">
        <x:v>Official demo set and three domains; adapter semantics; full paper locators unavailable in this audit; no DOI; not all A2A stacks or deployment policies are covered. Evidence maturity: Archival peer-reviewed benchmark, but exact full-text evidence locators still require manual author access.</x:v>
      </x:c>
      <x:c r="M21" s="60" t="str">
        <x:v>See load-bearing correction log and detailed source review.</x:v>
      </x:c>
      <x:c r="N21" s="60" t="str">
        <x:v>pending_exact_full-text_verification</x:v>
      </x:c>
      <x:c r="O21" s="60" t="str">
        <x:v>blocked_pending_exact_source</x:v>
      </x:c>
    </x:row>
    <x:row r="22">
      <x:c r="A22" s="60" t="n">
        <x:v>21</x:v>
      </x:c>
      <x:c r="B22" s="60" t="str">
        <x:v>zhang2024psysafe</x:v>
      </x:c>
      <x:c r="C22" s="60" t="str">
        <x:v>Camel 3; AutoGen 2; MetaGPT 5 (first 3 evaluated); AutoGPT 2.</x:v>
      </x:c>
      <x:c r="D22" s="60" t="str">
        <x:v>Multiple framework-specific structures described as joint, hierarchical, and hybrid; not one controlled graph taxonomy.</x:v>
      </x:c>
      <x:c r="E22" s="60" t="str">
        <x:v>Camel and AutoGen use 3 interaction rounds; MetaGPT and AutoGPT use 1 round.</x:v>
      </x:c>
      <x:c r="F22" s="60" t="str">
        <x:v>Unattacked condition plus HI, traits, and hybrid attack comparisons; input filtering and proposed Doctor/Police defenses.</x:v>
      </x:c>
      <x:c r="G22" s="60" t="str">
        <x:v>Process Danger Rate (at least one dangerous agent behavior in a problem/round process), Joint Danger Rate by round (all agent behaviors dangerous), plus psychological score.</x:v>
      </x:c>
      <x:c r="H22" s="60" t="str">
        <x:v>PDR/JDR are proportions over problem instances; JDR is round-specific. They are not conventional task-level ASR.</x:v>
      </x:c>
      <x:c r="I22" s="60" t="str">
        <x:v>Yes, but “system-level” means collective dangerous behavior in the evaluated dialogues; no external environment invariant is verified.</x:v>
      </x:c>
      <x:c r="J22" s="60" t="str">
        <x:v>ACL PDF pp. 1-4, Secs. 2.2-2.4; p. 4 Secs. 3.1-3.3; pp. 6-8 Tables 3-5; Appendix B p. 14 for PDR/JDR definitions.</x:v>
      </x:c>
      <x:c r="K22" s="60" t="str">
        <x:v>Authors frame PsySafe as an attack-defense-evaluation framework for MAS safety. Corpus should not reinterpret PDR/JDR as attack success rate or claim a formal security guarantee.</x:v>
      </x:c>
      <x:c r="L22" s="60" t="str">
        <x:v>Peer reviewed and broad, but heavily prompt/role based, uses LLM judges, mixes safety with security, and does not isolate interaction from role prompting across all settings.</x:v>
      </x:c>
      <x:c r="M22" s="60" t="str">
        <x:v>Change scope from core_security to security_relevant; change primary category from attack to evaluation/mixed framework; preserve attack as secondary role; fix canonical title punctuation; do not encode JDR/PDR as ASR.</x:v>
      </x:c>
      <x:c r="N22" s="60" t="str">
        <x:v>ready_after_major_patch</x:v>
      </x:c>
      <x:c r="O22" s="60" t="str">
        <x:v>assistant_source_reviewed_pending_author_signoff</x:v>
      </x:c>
    </x:row>
    <x:row r="23">
      <x:c r="A23" s="60" t="n">
        <x:v>22</x:v>
      </x:c>
      <x:c r="B23" s="60" t="str">
        <x:v>amayuelas2024collaboration_attack</x:v>
      </x:c>
      <x:c r="C23" s="60" t="str">
        <x:v>Experiments vary M from 2 to 6; principal setup uses multiple group models plus one adversary.</x:v>
      </x:c>
      <x:c r="D23" s="60" t="str">
        <x:v>Fully connected debate-style sharing rather than diverse graph topologies.</x:v>
      </x:c>
      <x:c r="E23" s="60" t="str">
        <x:v>Multiple debate rounds; ablation fixes T=3 for agent-count study and varies rounds elsewhere.</x:v>
      </x:c>
      <x:c r="F23" s="60" t="str">
        <x:v>Benign/no-adversary collaboration, adversarial debate, model/knowledge/persuasion variants, agent/round ablations, and prompt-based mitigation.</x:v>
      </x:c>
      <x:c r="G23" s="60" t="str">
        <x:v>Majority Vote Accuracy and Adversary Agreement, plus individual/group accuracy change from initial to final round.</x:v>
      </x:c>
      <x:c r="H23" s="60" t="str">
        <x:v>Question-level proportions over benchmark items; not per-agent or per-message ASR.</x:v>
      </x:c>
      <x:c r="I23" s="60" t="str">
        <x:v>Yes: aggregate decision and group accuracy are directly measured.</x:v>
      </x:c>
      <x:c r="J23" s="60" t="str">
        <x:v>PDF pp. 1-2 for setup and headline effects; Sec. 3 pp. 3-4; Sec. 4 pp. 4-7; Fig. 6-7 pp. 7-8; conclusion p. 8.</x:v>
      </x:c>
      <x:c r="K23" s="60" t="str">
        <x:v>Authors establish vulnerability of debate in evaluated tasks. Do not generalize to arbitrary topologies or autonomous tool execution.</x:v>
      </x:c>
      <x:c r="L23" s="60" t="str">
        <x:v>Peer reviewed; limited to debate/majority aggregation, mostly question-answering tasks, fixed adversarial role, and no dynamic coalition formation.</x:v>
      </x:c>
      <x:c r="M23" s="60" t="str">
        <x:v>Keep attack/core_security. Ensure metrics are coded as question-level majority accuracy and adversary agreement, not generic ASR. Record debate topology rather than unspecified collaboration.</x:v>
      </x:c>
      <x:c r="N23" s="60" t="str">
        <x:v>ready_after_minor_patch</x:v>
      </x:c>
      <x:c r="O23" s="60" t="str">
        <x:v>assistant_source_reviewed_pending_author_signoff</x:v>
      </x:c>
    </x:row>
    <x:row r="24">
      <x:c r="A24" s="60" t="n">
        <x:v>23</x:v>
      </x:c>
      <x:c r="B24" s="60" t="str">
        <x:v>khan2025agents_under_siege</x:v>
      </x:c>
      <x:c r="C24" s="60" t="str">
        <x:v>Not clearly fixed in the main reporting; graph size/topology generation details are in Appendix and should not be inferred from sample-size M, which is permutation sampling.</x:v>
      </x:c>
      <x:c r="D24" s="60" t="str">
        <x:v>Random graphs in main trials; chain, tree, complete, and random topology ablation.</x:v>
      </x:c>
      <x:c r="E24" s="60" t="str">
        <x:v>Asynchronous/chunked messages with token bandwidth and latency constraints.</x:v>
      </x:c>
      <x:c r="F24" s="60" t="str">
        <x:v>Vanilla prompts and GCG; multiple safety mechanisms including Llama-Guard/PromptGuard variants.</x:v>
      </x:c>
      <x:c r="G24" s="60" t="str">
        <x:v>ASR over harmful prompts after one sampled chunk permutation, reported as min/mean/max across three random-topology trials; detector F1 for safety mechanisms.</x:v>
      </x:c>
      <x:c r="H24" s="60" t="str">
        <x:v>Prompt/test-case level across JailbreakBench, AdversarialBench, and in-the-wild jailbreak sets; not population infection.</x:v>
      </x:c>
      <x:c r="I24" s="60" t="str">
        <x:v>Partly. It verifies graph-mediated delivery and target jailbreak, not an end-to-end autonomous multi-agent task or population-wide outcome.</x:v>
      </x:c>
      <x:c r="J24" s="60" t="str">
        <x:v>PDF Sec. 3 pp. 3-4; Sec. 4 pp. 4-5; Table 1 pp. 5-6; Secs. 5.2-5.4 pp. 6-8; Appendix B pp. 12-13.</x:v>
      </x:c>
      <x:c r="K24" s="60" t="str">
        <x:v>Authors claim a pragmatic graph-constrained jailbreak attack. Corpus should not describe it as compromising all agents or as measuring affected population.</x:v>
      </x:c>
      <x:c r="L24" s="60" t="str">
        <x:v>Peer reviewed; strong graph abstraction but synthetic message routing, unclear fixed agent count in main text, open-model emphasis, and harmful-output rather than environment-state verification.</x:v>
      </x:c>
      <x:c r="M24" s="60" t="str">
        <x:v>Keep attack/core_security. Clarify that primary outcome is target jailbreak, not system-wide compromise. Do not confuse stochastic sample size M with number of agents. Encode ASR denominator as harmful prompt/test case.</x:v>
      </x:c>
      <x:c r="N24" s="60" t="str">
        <x:v>ready_after_major_patch</x:v>
      </x:c>
      <x:c r="O24" s="60" t="str">
        <x:v>assistant_source_reviewed_pending_author_signoff</x:v>
      </x:c>
    </x:row>
    <x:row r="25">
      <x:c r="A25" s="60" t="n">
        <x:v>24</x:v>
      </x:c>
      <x:c r="B25" s="60" t="str">
        <x:v>peigne2025security_tax</x:v>
      </x:c>
      <x:c r="C25" s="60" t="str">
        <x:v>Seven agents.</x:v>
      </x:c>
      <x:c r="D25" s="60" t="str">
        <x:v>Role-based asynchronous messaging network; message chains reconstructed as trees. Not a broad topology comparison.</x:v>
      </x:c>
      <x:c r="E25" s="60" t="str">
        <x:v>Parallel/asynchronous with FIFO queues; attack injected after two messages; simulation ends on harmful code call, deadlock, or message cap.</x:v>
      </x:c>
      <x:c r="F25" s="60" t="str">
        <x:v>No defense, passive/active safety instructions, passive/active memory vaccines.</x:v>
      </x:c>
      <x:c r="G25" s="60" t="str">
        <x:v>System robustness = fraction of simulations not producing the malicious outcome; agent cooperation = acceptance rate of unusual but harmless instructions; behavioral compromise scores by message step.</x:v>
      </x:c>
      <x:c r="H25" s="60" t="str">
        <x:v>System robustness over 36 simulations per model-defense condition; cooperation over 5,400 agent-instruction trials.</x:v>
      </x:c>
      <x:c r="I25" s="60" t="str">
        <x:v>Yes in a simulated environment: harmful code request is checked as the terminal event. It is not a live physical experiment.</x:v>
      </x:c>
      <x:c r="J25" s="60" t="str">
        <x:v>AAAI/arXiv PDF pp. 1-3 and Fig. 2; Sec. 3 pp. 4-5; Table 1 pp. 5-6; Sec. 5 “Discussion &amp; Limitations” p. 7; appendices for prompts.</x:v>
      </x:c>
      <x:c r="K25" s="60" t="str">
        <x:v>Authors report a simulated chemical-facility compromise and defense trade-off. Corpus must label the environment as simulated and must not state that an actual explosion occurred.</x:v>
      </x:c>
      <x:c r="L25" s="60" t="str">
        <x:v>Peer reviewed; one seven-agent domain, direct injected prompt, closed membership, fixed roles, proprietary-model dependence, and model-judge evaluation.</x:v>
      </x:c>
      <x:c r="M25" s="60" t="str">
        <x:v>Normalize canonical author metadata; keep attack/core_security; encode system robustness and cooperation separately; mark harmful action as simulated code request, not real-world execution.</x:v>
      </x:c>
      <x:c r="N25" s="60" t="str">
        <x:v>ready_after_minor_patch</x:v>
      </x:c>
      <x:c r="O25" s="60" t="str">
        <x:v>assistant_source_reviewed_pending_author_signoff</x:v>
      </x:c>
    </x:row>
    <x:row r="26">
      <x:c r="A26" s="60" t="n">
        <x:v>25</x:v>
      </x:c>
      <x:c r="B26" s="60" t="str">
        <x:v>zhang2025allies_foes</x:v>
      </x:c>
      <x:c r="C26" s="60" t="str">
        <x:v>One to five collaborative agents plus one or two adversarial agents.</x:v>
      </x:c>
      <x:c r="D26" s="60" t="str">
        <x:v>Three communication schedules: self-consistency one-by-one, sequential one-by-one, and simultaneous-talk; not a graph-topology study in the strict network sense.</x:v>
      </x:c>
      <x:c r="E26" s="60" t="str">
        <x:v>Multi-round full-response sharing; each agent stores its own and others’ response history.</x:v>
      </x:c>
      <x:c r="F26" s="60" t="str">
        <x:v>Vary adversarial-member count, honest group size, communication schedule, and self-reflection mitigation.</x:v>
      </x:c>
      <x:c r="G26" s="60" t="str">
        <x:v>System Defense Index aggregates whether initially non-adversarial agents adopt the counterfactual answer and the first affected round; also reports First Attacked Time, consensus, and accuracy.</x:v>
      </x:c>
      <x:c r="H26" s="60" t="str">
        <x:v>SDI is averaged over dataset questions and includes agent and round terms; it is not a conventional task-level ASR.</x:v>
      </x:c>
      <x:c r="I26" s="60" t="str">
        <x:v>Yes for collective-answer influence on fixed-answer tasks; no external action or environment consequence is evaluated.</x:v>
      </x:c>
      <x:c r="J26" s="60" t="str">
        <x:v>PDF pp. 1-3, Secs. 2.1-2.4 and Eqs. 1-3; pp. 3-6, Figs. 1-4; p. 9 Limitations.</x:v>
      </x:c>
      <x:c r="K26" s="60" t="str">
        <x:v>Authors study group robustness and group dynamics. Corpus may code the resulting property as collective decision integrity, but must not call SDI an ASR or treat the three schedules as arbitrary network topologies.</x:v>
      </x:c>
      <x:c r="L26" s="60" t="str">
        <x:v>Peer reviewed. Maximum five collaborative agents, fixed-answer datasets, homogeneous roles, synthetic counterfactual attacks, and no deployed environment effects.</x:v>
      </x:c>
      <x:c r="M26" s="60" t="str">
        <x:v>Clarify that communication strategies are schedules rather than general graph topology; encode SDI with its question/agent/round denominator; keep external impact claims narrow.</x:v>
      </x:c>
      <x:c r="N26" s="60" t="str">
        <x:v>ready_after_minor_patch</x:v>
      </x:c>
      <x:c r="O26" s="60" t="str">
        <x:v>assistant_source_reviewed_pending_author_signoff</x:v>
      </x:c>
    </x:row>
    <x:row r="27">
      <x:c r="A27" s="60" t="n">
        <x:v>26</x:v>
      </x:c>
      <x:c r="B27" s="60" t="str">
        <x:v>zhu2025master</x:v>
      </x:c>
      <x:c r="C27" s="60" t="str">
        <x:v>Varies by automatically generated scenario; exact counts are scenario-dependent and should be taken from the released configurations rather than summarized as a single n.</x:v>
      </x:c>
      <x:c r="D27" s="60" t="str">
        <x:v>Five topology families, including chain and hierarchical configurations.</x:v>
      </x:c>
      <x:c r="E27" s="60" t="str">
        <x:v>Directed information-flow interaction over multiple stages.</x:v>
      </x:c>
      <x:c r="F27" s="60" t="str">
        <x:v>Non-adaptive dark-trait injection and ablations omitting role or topology information; three proposed defenses.</x:v>
      </x:c>
      <x:c r="G27" s="60" t="str">
        <x:v>Attack Success Rate plus blackened-role consistency, harmful-cooperation score, and defense-efficiency measures.</x:v>
      </x:c>
      <x:c r="H27" s="60" t="str">
        <x:v>Scenario/task instances; ASR is not a population-infection rate. Exact denominator must be cited from the evaluation protocol.</x:v>
      </x:c>
      <x:c r="I27" s="60" t="str">
        <x:v>Partially. The paper verifies harmful coordinated outputs in generated scenarios, not production side effects.</x:v>
      </x:c>
      <x:c r="J27" s="60" t="str">
        <x:v>PDF Sec. 3.1 pp. 3-4 and Fig. 2; Secs. 3.2.4-3.2.5 pp. 5-6; Sec. 4.1 pp. 6-7; Table 2; Fig. 5 p. 9.</x:v>
      </x:c>
      <x:c r="K27" s="60" t="str">
        <x:v>Authors present an integrated attack-defense-evaluation framework. Primary category should not default to attack simply because it includes one; evaluation/framework is the more faithful paper-level role.</x:v>
      </x:c>
      <x:c r="L27" s="60" t="str">
        <x:v>Peer reviewed but relies on automatically generated scenarios, prompt-level adversarial traits, and assumed probing access; external validity to deployed MAS is not established.</x:v>
      </x:c>
      <x:c r="M27" s="60" t="str">
        <x:v>Reclassify primary role from attack to evaluation/framework; do not report one fixed agent count; distinguish generated harmful cooperation from verified real-world harm; preserve ASR denominator.</x:v>
      </x:c>
      <x:c r="N27" s="60" t="str">
        <x:v>ready_after_major_patch</x:v>
      </x:c>
      <x:c r="O27" s="60" t="str">
        <x:v>assistant_source_reviewed_pending_author_signoff</x:v>
      </x:c>
    </x:row>
    <x:row r="28">
      <x:c r="A28" s="60" t="n">
        <x:v>27</x:v>
      </x:c>
      <x:c r="B28" s="60" t="str">
        <x:v>zhang2025breaking_agents</x:v>
      </x:c>
      <x:c r="C28" s="60" t="str">
        <x:v>Most broad experiments use an agent emulator; advanced MAS demonstrations use multiple Gmail agents or a CSV-to-Gmail chain built from two implemented agent types.</x:v>
      </x:c>
      <x:c r="D28" s="60" t="str">
        <x:v>Same-type peer network and heterogeneous two-stage chain; no broad controlled topology sweep.</x:v>
      </x:c>
      <x:c r="E28" s="60" t="str">
        <x:v>Upstream agent output is consumed by downstream agent; attack is embedded in the intermediate message/content.</x:v>
      </x:c>
      <x:c r="F28" s="60" t="str">
        <x:v>No-attack baseline; prompt injection, adversarial demonstrations, GCG/VIPER/SCPN variants; self-examination defense.</x:v>
      </x:c>
      <x:c r="G28" s="60" t="str">
        <x:v>Failure Rate: proportion of tested instructions/cases where the agent enters the target malfunction or fails the required task.</x:v>
      </x:c>
      <x:c r="H28" s="60" t="str">
        <x:v>Case-level trials, with different denominators across tables; advanced MAS Table 4 reports cases for two scenarios, not population prevalence.</x:v>
      </x:c>
      <x:c r="I28" s="60" t="str">
        <x:v>Yes only for the small implemented workflows. The &gt;80% headline spans scenarios and should not be presented as a universal MAS rate.</x:v>
      </x:c>
      <x:c r="J28" s="60" t="str">
        <x:v>PDF Secs. 3.2-3.3 pp. 2-3; Tables 2-4 pp. 5-7; Sec. 5.5 pp. 6-7; Limitations p. 8.</x:v>
      </x:c>
      <x:c r="K28" s="60" t="str">
        <x:v>Authors frame a broad autonomous-agent malfunction attack with multi-agent demonstrations. Corpus must isolate the advanced MAS claims instead of treating the entire paper as MAS-primary.</x:v>
      </x:c>
      <x:c r="L28" s="60" t="str">
        <x:v>Peer reviewed. Only two implemented agent types, small workflow demonstrations, benign incorrect-action targets, and strong single-agent confounding.</x:v>
      </x:c>
      <x:c r="M28" s="60" t="str">
        <x:v>Downgrade whole-paper scope to security_relevant; code only advanced MAS claims as core interaction evidence; do not use the &gt;80% headline as a population-level MAS result.</x:v>
      </x:c>
      <x:c r="N28" s="60" t="str">
        <x:v>ready_after_major_patch</x:v>
      </x:c>
      <x:c r="O28" s="60" t="str">
        <x:v>assistant_source_reviewed_pending_author_signoff</x:v>
      </x:c>
    </x:row>
    <x:row r="29">
      <x:c r="A29" s="60" t="n">
        <x:v>28</x:v>
      </x:c>
      <x:c r="B29" s="60" t="str">
        <x:v>yan2026evo_attacker</x:v>
      </x:c>
      <x:c r="C29" s="60" t="str">
        <x:v>Architecture-specific; exact counts reside in Appendix C.1 and should not be inferred from the attack budget or rollout group size.</x:v>
      </x:c>
      <x:c r="D29" s="60" t="str">
        <x:v>Flat, chain, and hierarchical.</x:v>
      </x:c>
      <x:c r="E29" s="60" t="str">
        <x:v>Multi-step graph execution; attacker is explicitly blind to inter-agent messages.</x:v>
      </x:c>
      <x:c r="F29" s="60" t="str">
        <x:v>No attack; Forced Output; InjecAgent; Web Fraud; Prompt Infection; component ablations.</x:v>
      </x:c>
      <x:c r="G29" s="60" t="str">
        <x:v>Uses each benchmark’s official task metric (TS, Pass@1, RACE, WebArena SR, WebShop score) and reports absolute degradation from no-attack, rather than one common ASR.</x:v>
      </x:c>
      <x:c r="H29" s="60" t="str">
        <x:v>Task/benchmark-specific instances. “Attack effectiveness” is metric decline; denominators are not comparable across benchmarks.</x:v>
      </x:c>
      <x:c r="I29" s="60" t="str">
        <x:v>Yes at terminal task outcome level; “global system collapse” is author rhetoric for failure of benchmark criteria, not infrastructure compromise.</x:v>
      </x:c>
      <x:c r="J29" s="60" t="str">
        <x:v>PDF Sec. 2 pp. 2-3; Fig. 1; Sec. 4.1 p. 4; Table 1 pp. 5; Table 2 pp. 5-6; Sec. 4.5; Limitations p. 8.</x:v>
      </x:c>
      <x:c r="K29" s="60" t="str">
        <x:v>Authors call the method a long-horizon tool attack. Corpus should encode each official benchmark metric, not convert all results into ASR.</x:v>
      </x:c>
      <x:c r="L29" s="60" t="str">
        <x:v>Peer reviewed. High training/test-time cost; Qwen-based main victim/attacker setup; static architectures; only LLM detector stealthiness broadly tested; cryptographic/protocol defenses not evaluated.</x:v>
      </x:c>
      <x:c r="M29" s="60" t="str">
        <x:v>Do not label its reported metrics as ASR; preserve tool-channel-only visibility and B=3 constraint; do not infer n from G=8 rollouts; narrow “system collapse” to task failure.</x:v>
      </x:c>
      <x:c r="N29" s="60" t="str">
        <x:v>ready_after_minor_patch</x:v>
      </x:c>
      <x:c r="O29" s="60" t="str">
        <x:v>assistant_source_reviewed_pending_author_signoff</x:v>
      </x:c>
    </x:row>
    <x:row r="30">
      <x:c r="A30" s="60" t="n">
        <x:v>29</x:v>
      </x:c>
      <x:c r="B30" s="60" t="str">
        <x:v>yan2026mast</x:v>
      </x:c>
      <x:c r="C30" s="60" t="str">
        <x:v>Flat and chain use three agents; hierarchical uses two children per parent according to the paper setup.</x:v>
      </x:c>
      <x:c r="D30" s="60" t="str">
        <x:v>Flat, chain, hierarchical.</x:v>
      </x:c>
      <x:c r="E30" s="60" t="str">
        <x:v>Multi-round message passing; attacker may tamper with selected links and rounds.</x:v>
      </x:c>
      <x:c r="F30" s="60" t="str">
        <x:v>Debate-Attack, AutoInject, AiTM-Target, AiTM-DoS; similarity-constraint ablations.</x:v>
      </x:c>
      <x:c r="G30" s="60" t="str">
        <x:v>Final-output Attack Success Rate plus message-level stealthiness under a trusted LLM detector.</x:v>
      </x:c>
      <x:c r="H30" s="60" t="str">
        <x:v>Task instances for ASR and transmitted messages for detector/stealth metrics; these denominators must remain separate.</x:v>
      </x:c>
      <x:c r="I30" s="60" t="str">
        <x:v>Yes at final task-output level; no external side-effect execution is shown.</x:v>
      </x:c>
      <x:c r="J30" s="60" t="str">
        <x:v>AAAI PDF Sec. 3.2 p. 3; Secs. 4.1-4.2 pp. 3-5, Fig. 2, Eqs. 10-11; Secs. 5.1-5.2 pp. 5-7, Table 1.</x:v>
      </x:c>
      <x:c r="K30" s="60" t="str">
        <x:v>Authors claim adaptive stealthy communication tampering. Corpus should not infer authenticated-channel defeat or global invisibility beyond the evaluated detector.</x:v>
      </x:c>
      <x:c r="L30" s="60" t="str">
        <x:v>Peer reviewed. Small fixed architectures, full graph knowledge, continuous link access, semantic rather than cryptographic detection, and final-output attack criterion.</x:v>
      </x:c>
      <x:c r="M30" s="60" t="str">
        <x:v>Separate task-level ASR from message-level stealth denominator; retain strong on-path and graph-knowledge assumptions; do not describe agents themselves as compromised.</x:v>
      </x:c>
      <x:c r="N30" s="60" t="str">
        <x:v>ready_after_minor_patch</x:v>
      </x:c>
      <x:c r="O30" s="60" t="str">
        <x:v>assistant_source_reviewed_pending_author_signoff</x:v>
      </x:c>
    </x:row>
    <x:row r="31">
      <x:c r="A31" s="60" t="n">
        <x:v>30</x:v>
      </x:c>
      <x:c r="B31" s="60" t="str">
        <x:v>wang2026shadows_code</x:v>
      </x:c>
      <x:c r="C31" s="60" t="str">
        <x:v>Framework dependent; design, coding, and testing stages are the analyzed role positions rather than one fixed n.</x:v>
      </x:c>
      <x:c r="D31" s="60" t="str">
        <x:v>Stage/workflow structures of ChatDev, MetaGPT, and AgentVerse.</x:v>
      </x:c>
      <x:c r="E31" s="60" t="str">
        <x:v>Cross-stage artifact handoff and role dialogue.</x:v>
      </x:c>
      <x:c r="F31" s="60" t="str">
        <x:v>No attack, user-side versus compromised-role attacks, per-stage and all-stage defenses, multiple models/frameworks.</x:v>
      </x:c>
      <x:c r="G31" s="60" t="str">
        <x:v>Benign utility, utility under attack, consistency, refusal rate, ASR, and defense-adjusted ASR/refusal.</x:v>
      </x:c>
      <x:c r="H31" s="60" t="str">
        <x:v>Software requirement/task instances; ASR concerns malicious functionality in generated software, not compromised-agent count.</x:v>
      </x:c>
      <x:c r="I31" s="60" t="str">
        <x:v>Yes in controlled executable-software evaluation; no deployment on real victims.</x:v>
      </x:c>
      <x:c r="J31" s="60" t="str">
        <x:v>PDF Methodology pp. 3-5 and Fig. 2; Experiment p. 5; attack/defense results pp. 6-8, Figs. 4-5.</x:v>
      </x:c>
      <x:c r="K31" s="60" t="str">
        <x:v>Authors present a combined risk/defense benchmark. Paper-level primary role is better coded as evaluation, with claim-level attack records for IMBIA.</x:v>
      </x:c>
      <x:c r="L31" s="60" t="str">
        <x:v>Peer reviewed but synthetic malicious requirements, three research frameworks, sandboxed execution, and prompt-hardening defenses without formal authorization guarantees.</x:v>
      </x:c>
      <x:c r="M31" s="60" t="str">
        <x:v>Reclassify paper-level role from attack to evaluation; do not claim fixed agent count; distinguish verified malicious code behavior from real-world compromise.</x:v>
      </x:c>
      <x:c r="N31" s="60" t="str">
        <x:v>ready_after_major_patch</x:v>
      </x:c>
      <x:c r="O31" s="60" t="str">
        <x:v>assistant_source_reviewed_pending_author_signoff</x:v>
      </x:c>
    </x:row>
    <x:row r="32">
      <x:c r="A32" s="60" t="n">
        <x:v>31</x:v>
      </x:c>
      <x:c r="B32" s="60" t="str">
        <x:v>wu2026cia</x:v>
      </x:c>
      <x:c r="C32" s="60" t="str">
        <x:v>Varies with evaluated graph generators/configurations; exact n must be cited per experiment rather than inferred from AUC.</x:v>
      </x:c>
      <x:c r="D32" s="60" t="str">
        <x:v>Multiple optimized hidden directed communication graphs.</x:v>
      </x:c>
      <x:c r="E32" s="60" t="str">
        <x:v>Internal message flow is not directly observed; it is inferred from output correlations.</x:v>
      </x:c>
      <x:c r="F32" s="60" t="str">
        <x:v>Correlation/graph-inference baselines and method ablations.</x:v>
      </x:c>
      <x:c r="G32" s="60" t="str">
        <x:v>Edge-classification AUC and related classification measures.</x:v>
      </x:c>
      <x:c r="H32" s="60" t="str">
        <x:v>Candidate graph edges across test systems; not task-level ASR.</x:v>
      </x:c>
      <x:c r="I32" s="60" t="str">
        <x:v>Topology leakage is verified. Operational compromise after reconnaissance is not.</x:v>
      </x:c>
      <x:c r="J32" s="60" t="str">
        <x:v>PDF Sec. 3 pp. 3-4; Sec. 4 pp. 4-7; Sec. 5 pp. 8-10 and main result tables.</x:v>
      </x:c>
      <x:c r="K32" s="60" t="str">
        <x:v>Authors call topology a privacy/IP asset. Corpus must code CIA as reconnaissance/confidentiality loss, not topology corruption or a demonstrated downstream attack.</x:v>
      </x:c>
      <x:c r="L32" s="60" t="str">
        <x:v>Peer reviewed. Restricted topology families, semantic-correlation assumption, optimized graphs, and no implemented defense or follow-on attack.</x:v>
      </x:c>
      <x:c r="M32" s="60" t="str">
        <x:v>Keep primary failure structural confidentiality; record AUC per edge; remove any claim that topology was modified or that later exploitation was verified.</x:v>
      </x:c>
      <x:c r="N32" s="60" t="str">
        <x:v>ready_after_minor_patch</x:v>
      </x:c>
      <x:c r="O32" s="60" t="str">
        <x:v>assistant_source_reviewed_pending_author_signoff</x:v>
      </x:c>
    </x:row>
    <x:row r="33">
      <x:c r="A33" s="60" t="n">
        <x:v>32</x:v>
      </x:c>
      <x:c r="B33" s="60" t="str">
        <x:v>ko2026social_dynamics</x:v>
      </x:c>
      <x:c r="C33" s="60" t="str">
        <x:v>One representative plus five peer responses; adversarial peer count is varied.</x:v>
      </x:c>
      <x:c r="D33" s="60" t="str">
        <x:v>Representative/aggregator star-like architecture; not decentralized.</x:v>
      </x:c>
      <x:c r="E33" s="60" t="str">
        <x:v>One representative consumes peer answers/arguments rather than unrestricted peer-to-peer interaction.</x:v>
      </x:c>
      <x:c r="F33" s="60" t="str">
        <x:v>No-peer and benign-peer controls; controlled interventions on coalition, capability, length, order, and rhetoric.</x:v>
      </x:c>
      <x:c r="G33" s="60" t="str">
        <x:v>Representative-agent accuracy and decision-change/adoption rates.</x:v>
      </x:c>
      <x:c r="H33" s="60" t="str">
        <x:v>Question instances under each controlled condition.</x:v>
      </x:c>
      <x:c r="I33" s="60" t="str">
        <x:v>Yes for objective final-answer changes; no external action or persistent system state.</x:v>
      </x:c>
      <x:c r="J33" s="60" t="str">
        <x:v>PDF study design Sec. 3 pp. 3-5; experiments Secs. 4-5 pp. 4-15 and main tables/figures; limitations section.</x:v>
      </x:c>
      <x:c r="K33" s="60" t="str">
        <x:v>Authors frame social dynamics as vulnerabilities. Corpus should include only intentional adversarial conditions as attack evidence and keep general conformity observations security-relevant rather than core.</x:v>
      </x:c>
      <x:c r="L33" s="60" t="str">
        <x:v>Peer reviewed. Representative-only architecture, fixed-answer tasks, synthetic social cues, no identity authentication or decentralized coordination.</x:v>
      </x:c>
      <x:c r="M33" s="60" t="str">
        <x:v>Downgrade scope to security_relevant and primary role to evaluation; separate adversarial manipulation from non-adversarial social behavior; do not generalize to all MAS topologies.</x:v>
      </x:c>
      <x:c r="N33" s="60" t="str">
        <x:v>ready_after_major_patch</x:v>
      </x:c>
      <x:c r="O33" s="60" t="str">
        <x:v>assistant_source_reviewed_pending_author_signoff</x:v>
      </x:c>
    </x:row>
    <x:row r="34">
      <x:c r="A34" s="60" t="n">
        <x:v>33</x:v>
      </x:c>
      <x:c r="B34" s="60" t="str">
        <x:v>zhou2026hierarchical_attacks</x:v>
      </x:c>
      <x:c r="C34" s="60" t="str">
        <x:v>One master plus six specialized subagents; thirteen tools.</x:v>
      </x:c>
      <x:c r="D34" s="60" t="str">
        <x:v>Hierarchical master-subagent system; attack variants can block or manipulate links.</x:v>
      </x:c>
      <x:c r="E34" s="60" t="str">
        <x:v>Shared/private memory and three reasoning paradigms: ReAct, Plan-and-Solve, Reflexion.</x:v>
      </x:c>
      <x:c r="F34" s="60" t="str">
        <x:v>Clean system and layer-specific attacks such as visual/text injection, tool spoofing, and role manipulation.</x:v>
      </x:c>
      <x:c r="G34" s="60" t="str">
        <x:v>Task Success Rate, ASR over clean-correct samples, Hallucination Error Rate, cross-modal consistency, and local/systemic error shares.</x:v>
      </x:c>
      <x:c r="H34" s="60" t="str">
        <x:v>ASR denominator is clean-correct GQA samples; local/systemic shares are conditioned on successful errors. Do not compare directly with task-level ASR elsewhere.</x:v>
      </x:c>
      <x:c r="I34" s="60" t="str">
        <x:v>Yes for root-answer and multi-agent consistent-error outcomes; no external tool side-effect harm.</x:v>
      </x:c>
      <x:c r="J34" s="60" t="str">
        <x:v>CVPR pp. 42333-42335 Sec. 3 and Fig. 2; p. 42335 Sec. 4.1; p. 42336 Table 2; p. 42338 Fig. 5.</x:v>
      </x:c>
      <x:c r="K34" s="60" t="str">
        <x:v>Authors organize by attack layer. Corpus should split variants into claim records because the layer is an attack locus, not one system-level failure.</x:v>
      </x:c>
      <x:c r="L34" s="60" t="str">
        <x:v>Peer reviewed. One main platform/configuration, sampled GQA plus supplementary EvoChart-QA, heterogeneous attacker privileges, and no implemented defense.</x:v>
      </x:c>
      <x:c r="M34" s="60" t="str">
        <x:v>Reclassify paper-level role as evaluation/attack suite; split claim-level failure categories; record ASR as clean-correct-sample rate; do not treat all variants as equally interaction-native.</x:v>
      </x:c>
      <x:c r="N34" s="60" t="str">
        <x:v>ready_after_major_patch</x:v>
      </x:c>
      <x:c r="O34" s="60" t="str">
        <x:v>assistant_source_reviewed_pending_author_signoff</x:v>
      </x:c>
    </x:row>
    <x:row r="35">
      <x:c r="A35" s="60" t="n">
        <x:v>34</x:v>
      </x:c>
      <x:c r="B35" s="60" t="str">
        <x:v>kong2026web_fraud</x:v>
      </x:c>
      <x:c r="C35" s="60" t="str">
        <x:v>Architecture-specific MetaGPT roles; one malicious recommender plus benign review/debate/vote participants.</x:v>
      </x:c>
      <x:c r="D35" s="60" t="str">
        <x:v>Linear, iterative review, three-round debate, and voting workflows.</x:v>
      </x:c>
      <x:c r="E35" s="60" t="str">
        <x:v>Fixed role channels carrying URL recommendations and critiques.</x:v>
      </x:c>
      <x:c r="F35" s="60" t="str">
        <x:v>Plain malicious URL; twelve WFA variants; Google Safe Browsing, VirusTotal, PhishTank, and prompt-based defenses.</x:v>
      </x:c>
      <x:c r="G35" s="60" t="str">
        <x:v>ASR is fraction of repeated runs in which the final auditor does not classify the URL as high risk; ten repetitions per configuration.</x:v>
      </x:c>
      <x:c r="H35" s="60" t="str">
        <x:v>Run/configuration-level decisions, not agent or population compromise.</x:v>
      </x:c>
      <x:c r="I35" s="60" t="str">
        <x:v>Collective acceptance is verified by the evaluator. Actual malicious-site execution or downstream victim impact is not.</x:v>
      </x:c>
      <x:c r="J35" s="60" t="str">
        <x:v>PDF Sec. 3.1 p. 14021 Fig. 1; Sec. 3.2 pp. 14022-14023 Table 2; Sec. 4.1 pp. 14023-14024 Fig. 3; Sec. 4.2 pp. 14024-14025 Fig. 4/Table 3.</x:v>
      </x:c>
      <x:c r="K35" s="60" t="str">
        <x:v>Authors describe destructive potential. Corpus should code the observed event as malicious-link acceptance, not confirmed phishing, malware, or prompt-injection compromise.</x:v>
      </x:c>
      <x:c r="L35" s="60" t="str">
        <x:v>Peer reviewed. Narrow URL task, one malicious agent/domain, LLM auditor outcome, synthetic recommendation scenarios, no new preventive defense.</x:v>
      </x:c>
      <x:c r="M35" s="60" t="str">
        <x:v>Keep ASR definition tied to auditor risk label and ten repeats; separate observed recommendation failure from speculative downstream harm.</x:v>
      </x:c>
      <x:c r="N35" s="60" t="str">
        <x:v>ready_after_minor_patch</x:v>
      </x:c>
      <x:c r="O35" s="60" t="str">
        <x:v>assistant_source_reviewed_pending_author_signoff</x:v>
      </x:c>
    </x:row>
    <x:row r="36">
      <x:c r="A36" s="60" t="n">
        <x:v>35</x:v>
      </x:c>
      <x:c r="B36" s="60" t="str">
        <x:v>huang2025faulty_agents</x:v>
      </x:c>
      <x:c r="C36" s="60" t="str">
        <x:v>System-specific expert teams across six collaboration systems; no universal n.</x:v>
      </x:c>
      <x:c r="D36" s="60" t="str">
        <x:v>Linear, all-to-all/flat, hierarchical.</x:v>
      </x:c>
      <x:c r="E36" s="60" t="str">
        <x:v>Task-specific expert message passing.</x:v>
      </x:c>
      <x:c r="F36" s="60" t="str">
        <x:v>Single-agent/unmodified MAS; faulty systems without defense; Challenger and Inspector.</x:v>
      </x:c>
      <x:c r="G36" s="60" t="str">
        <x:v>Task-specific accuracy/quality, performance drop, and error-recovery fraction.</x:v>
      </x:c>
      <x:c r="H36" s="60" t="str">
        <x:v>Task instances and injected-error events; 5.5/10.5/23.7 are average performance drops by structural group, not ASR.</x:v>
      </x:c>
      <x:c r="I36" s="60" t="str">
        <x:v>Yes for benchmark output degradation and recovery; no external security side effects.</x:v>
      </x:c>
      <x:c r="J36" s="60" t="str">
        <x:v>PDF Sec. 3 pp. 3-4 Fig. 2; Sec. 4 pp. 4-6 Tables 1-2; Sec. 5 pp. 6-8; Sec. 6 pp. 8-9 Fig. 6.</x:v>
      </x:c>
      <x:c r="K36" s="60" t="str">
        <x:v>Authors explicitly mix clumsy and malicious agents. Corpus must preserve fault-versus-adversary distinction and not reinterpret all injected errors as attacks.</x:v>
      </x:c>
      <x:c r="L36" s="60" t="str">
        <x:v>Peer reviewed. Synthetic faults, fixed tasks/templates, task-specific metrics, reviewer-quality dependence, and variable system size.</x:v>
      </x:c>
      <x:c r="M36" s="60" t="str">
        <x:v>Reclassify from attack to evaluation; scope security_relevant; record 5.5% and 96.4% in their exact structural/error-recovery contexts; tag fault model.</x:v>
      </x:c>
      <x:c r="N36" s="60" t="str">
        <x:v>ready_after_major_patch</x:v>
      </x:c>
      <x:c r="O36" s="60" t="str">
        <x:v>assistant_source_reviewed_pending_author_signoff</x:v>
      </x:c>
    </x:row>
    <x:row r="37">
      <x:c r="A37" s="60" t="n">
        <x:v>36</x:v>
      </x:c>
      <x:c r="B37" s="60" t="str">
        <x:v>hagag2026architecture_matters</x:v>
      </x:c>
      <x:c r="C37" s="60" t="str">
        <x:v>Thirteen architecture configurations; specialist count varies by configuration.</x:v>
      </x:c>
      <x:c r="D37" s="60" t="str">
        <x:v>Standalone, orchestrator/executor, specialists, star, chain, mesh.</x:v>
      </x:c>
      <x:c r="E37" s="60" t="str">
        <x:v>Topology- and role-specific delegation; private, own-reasoning, or shared-memory variants.</x:v>
      </x:c>
      <x:c r="F37" s="60" t="str">
        <x:v>Standalone and matched reference architectures across BrowserART, OS-Harm/OS-World, RedCode-Gen.</x:v>
      </x:c>
      <x:c r="G37" s="60" t="str">
        <x:v>Planning Refusal, Execution Refusal, Harmful Action, Harmful Task completion, and benign accuracy.</x:v>
      </x:c>
      <x:c r="H37" s="60" t="str">
        <x:v>Task instances; the 3.8x comparison is a ratio of harmful-task completion rates in selected matched configurations, not a universal effect size.</x:v>
      </x:c>
      <x:c r="I37" s="60" t="str">
        <x:v>Yes through benchmark/environment outcome checkers, but only direct misuse.</x:v>
      </x:c>
      <x:c r="J37" s="60" t="str">
        <x:v>ArXiv Sec. 4 pp. 4-5 and Tables 8-10; Sec. 4.4 p. 5; Secs. 5.1-5.3 pp. 5-8; Sec. 8 p. 9.</x:v>
      </x:c>
      <x:c r="K37" s="60" t="str">
        <x:v>Authors empirically evaluate architecture, not introduce a distinct attack. Corpus should code architecture variables and stagewise harm, with paper-level role evaluation.</x:v>
      </x:c>
      <x:c r="L37" s="60" t="str">
        <x:v>Peer-reviewed workshop, not archival main track. Direct misuse only; no malicious members, indirect injection, dedicated guardrails, or factorial interactions among all design axes.</x:v>
      </x:c>
      <x:c r="M37" s="60" t="str">
        <x:v>Correct venue to AIWILD workshop at ICML 2026; change primary category to evaluation; preserve stagewise metrics and ratio context.</x:v>
      </x:c>
      <x:c r="N37" s="60" t="str">
        <x:v>ready_after_major_patch</x:v>
      </x:c>
      <x:c r="O37" s="60" t="str">
        <x:v>assistant_source_reviewed_pending_author_signoff</x:v>
      </x:c>
    </x:row>
    <x:row r="38">
      <x:c r="A38" s="60" t="n">
        <x:v>37</x:v>
      </x:c>
      <x:c r="B38" s="60" t="str">
        <x:v>ren2026financial_fraud</x:v>
      </x:c>
      <x:c r="C38" s="60" t="str">
        <x:v>Population scale and malicious-to-benign ratio are varied; exact n is condition-specific.</x:v>
      </x:c>
      <x:c r="D38" s="60" t="str">
        <x:v>Social-platform public and private communication channels rather than fixed graph families.</x:v>
      </x:c>
      <x:c r="E38" s="60" t="str">
        <x:v>Multi-stage public/private conversations with variable interaction depth.</x:v>
      </x:c>
      <x:c r="F38" s="60" t="str">
        <x:v>No-collusion channel condition, varied population/model capability, and no-intervention controls.</x:v>
      </x:c>
      <x:c r="G38" s="60" t="str">
        <x:v>Separate population-level fraud success, conversation-level success, transfer/stage conversion, and collaboration-failure metrics.</x:v>
      </x:c>
      <x:c r="H38" s="60" t="str">
        <x:v>Populations, conversations, agents, or stage opportunities depending on metric; these must not be collapsed.</x:v>
      </x:c>
      <x:c r="I38" s="60" t="str">
        <x:v>Only within the simulation and transfer oracle; no real fraud or real financial loss.</x:v>
      </x:c>
      <x:c r="J38" s="60" t="str">
        <x:v>Full text Sec. 3 pp. 3-5 and Fig. 2; Sec. 3.3 p. 5; Sec. 4.1 p. 6; Sec. 4.3 p. 8 Table 2; Sec. 5 pp. 11-13 Tables 9-10.</x:v>
      </x:c>
      <x:c r="K38" s="60" t="str">
        <x:v>Authors frame “real-world risks,” but evidence is simulated. Corpus should state simulated financial impact and preserve metric levels.</x:v>
      </x:c>
      <x:c r="L38" s="60" t="str">
        <x:v>Peer reviewed if final ICLR acceptance is confirmed. Simulation, explicit malicious prompts, LLM judges, adaptive behavior within bounded scenarios, uncertain external validity.</x:v>
      </x:c>
      <x:c r="M38" s="60" t="str">
        <x:v>Change paper-level role to evaluation/benchmark; do not call simulated transfers real financial loss; record each denominator separately; verify final ICLR canonical PDF.</x:v>
      </x:c>
      <x:c r="N38" s="60" t="str">
        <x:v>ready_after_major_patch</x:v>
      </x:c>
      <x:c r="O38" s="60" t="str">
        <x:v>assistant_source_reviewed_pending_author_signoff</x:v>
      </x:c>
    </x:row>
    <x:row r="39">
      <x:c r="A39" s="60" t="n">
        <x:v>38</x:v>
      </x:c>
      <x:c r="B39" s="60" t="str">
        <x:v>bowers2025code_injection</x:v>
      </x:c>
      <x:c r="C39" s="60" t="str">
        <x:v>Architectures include coder, coder-tester, coder-reviewer-tester, and security-analysis variants.</x:v>
      </x:c>
      <x:c r="D39" s="60" t="str">
        <x:v>Sequential software-development pipeline.</x:v>
      </x:c>
      <x:c r="E39" s="60" t="str">
        <x:v>Agents exchange code through shared storage/artifact handoff.</x:v>
      </x:c>
      <x:c r="F39" s="60" t="str">
        <x:v>No attack; one-time and continuous basic injection; six advanced variants; architectures with/without reviewers.</x:v>
      </x:c>
      <x:c r="G39" s="60" t="str">
        <x:v>Pass@1, attack effectiveness, model calls, and reviewer/security-agent detection outcomes.</x:v>
      </x:c>
      <x:c r="H39" s="60" t="str">
        <x:v>HumanEval’s 164 tasks, with three trials; attack-effectiveness percentages are task/trial based, not agent compromise rates.</x:v>
      </x:c>
      <x:c r="I39" s="60" t="str">
        <x:v>Malicious code retention in generated artifacts is verified; production execution/exfiltration is not.</x:v>
      </x:c>
      <x:c r="J39" s="60" t="str">
        <x:v>Full text Secs. 4-5 pp. 3-4, Fig. 1 and Listing 1; Secs. 5.3-6 p. 4; Sec. 7 pp. 5-6 Table III; Sec. 8 p. 6.</x:v>
      </x:c>
      <x:c r="K39" s="60" t="str">
        <x:v>Authors call the injected function an exfiltration attack. Corpus should distinguish retained malicious code from verified exfiltration.</x:v>
      </x:c>
      <x:c r="L39" s="60" t="str">
        <x:v>Peer reviewed. HumanEval functions only, three backbones, three trials, one proof-of-concept payload, repository-scale generalization unknown.</x:v>
      </x:c>
      <x:c r="M39" s="60" t="str">
        <x:v>Change primary role to evaluation; retain exact 86.59%/71.95% model conditions; do not report production compromise or exfiltration as observed.</x:v>
      </x:c>
      <x:c r="N39" s="60" t="str">
        <x:v>ready_after_major_patch</x:v>
      </x:c>
      <x:c r="O39" s="60" t="str">
        <x:v>assistant_source_reviewed_pending_author_signoff</x:v>
      </x:c>
    </x:row>
    <x:row r="40">
      <x:c r="A40" s="60" t="n">
        <x:v>39</x:v>
      </x:c>
      <x:c r="B40" s="60" t="str">
        <x:v>jha2026control_flow_hijacking</x:v>
      </x:c>
      <x:c r="C40" s="60" t="str">
        <x:v>One orchestrator plus web, file, video, coding, and execution specialists; also modified AgentDojo Slack.</x:v>
      </x:c>
      <x:c r="D40" s="60" t="str">
        <x:v>Central orchestrator with specialist invocation graph.</x:v>
      </x:c>
      <x:c r="E40" s="60" t="str">
        <x:v>All relevant transitions pass through the orchestrator; direct tool internals remain black-box.</x:v>
      </x:c>
      <x:c r="F40" s="60" t="str">
        <x:v>No defense, least privilege, Azure Content Filters, LlamaFirewall with multiple checker models, ControlValve.</x:v>
      </x:c>
      <x:c r="G40" s="60" t="str">
        <x:v>Task-level ASR, exact/open-ended task utility, CFG parse/completeness, and runtime.</x:v>
      </x:c>
      <x:c r="H40" s="60" t="str">
        <x:v>CFH-Hard tasks/attacks and modified AgentDojo cases; “blocked all” means zero successes in the finite evaluated suite.</x:v>
      </x:c>
      <x:c r="I40" s="60" t="str">
        <x:v>Yes in sandboxed environments for code/data actions.</x:v>
      </x:c>
      <x:c r="J40" s="60" t="str">
        <x:v>Full text Sec. 2 p. 2 Figs. 1-3; Sec. 4 pp. 4-5 Fig. 4; Sec. 5 p. 6; Secs. 6.3-6.4 pp. 8-9 Tables 1-3.</x:v>
      </x:c>
      <x:c r="K40" s="60" t="str">
        <x:v>Authors propose ControlValve. Paper-level primary category should be defense; zero observed ASR is not a formal guarantee.</x:v>
      </x:c>
      <x:c r="L40" s="60" t="str">
        <x:v>Peer reviewed. One main orchestration stack, finite attack suite, generated CFG/rule errors, runtime overhead, potential functional restriction.</x:v>
      </x:c>
      <x:c r="M40" s="60" t="str">
        <x:v>Reclassify primary from attack to defense; code attack and defense claims separately; qualify zero ASR; preserve trusted-orchestrator/full-transition-visibility assumption.</x:v>
      </x:c>
      <x:c r="N40" s="60" t="str">
        <x:v>ready_after_major_patch</x:v>
      </x:c>
      <x:c r="O40" s="60" t="str">
        <x:v>assistant_source_reviewed_pending_author_signoff</x:v>
      </x:c>
    </x:row>
    <x:row r="41">
      <x:c r="A41" s="60" t="n">
        <x:v>40</x:v>
      </x:c>
      <x:c r="B41" s="60" t="str">
        <x:v>zhang2026embedding_defenses</x:v>
      </x:c>
      <x:c r="C41" s="60" t="str">
        <x:v>Graph/test configuration dependent; no universal n should be inferred.</x:v>
      </x:c>
      <x:c r="D41" s="60" t="str">
        <x:v>Star, chain, sparse-random directed graphs.</x:v>
      </x:c>
      <x:c r="E41" s="60" t="str">
        <x:v>Multi-round messaging with echo/aggregation; signal decays across rounds.</x:v>
      </x:c>
      <x:c r="F41" s="60" t="str">
        <x:v>No defense, G-Safeguard, GUARDIAN, confidence pruning/weighting.</x:v>
      </x:c>
      <x:c r="G41" s="60" t="str">
        <x:v>Task accuracy/exact match, ASR, embedding distances, malicious-agent AUROC, signal half-life, and area under AUROC-by-round.</x:v>
      </x:c>
      <x:c r="H41" s="60" t="str">
        <x:v>Question/task instances for accuracy/ASR and agent/message labels for AUROC; signal persistence is round-indexed.</x:v>
      </x:c>
      <x:c r="I41" s="60" t="str">
        <x:v>Yes at collective-answer and attribution levels; no external action.</x:v>
      </x:c>
      <x:c r="J41" s="60" t="str">
        <x:v>Full text Sec. 5 pp. 4-5 Fig. 2; Sec. 6 pp. 5-6; Sec. 7.1 p. 6; Sec. 7.2 pp. 6-7 Tables 1/3; Sec. 8 pp. 7-8 Tables 4-5.</x:v>
      </x:c>
      <x:c r="K41" s="60" t="str">
        <x:v>Authors frame a defense failure and replacement signal. Paper-level primary role is defense, not attack.</x:v>
      </x:c>
      <x:c r="L41" s="60" t="str">
        <x:v>Peer reviewed if ICML final status confirmed. Three datasets/models/topologies, confidence unavailable from some APIs, both signals decay, no fully adaptive attack against both.</x:v>
      </x:c>
      <x:c r="M41" s="60" t="str">
        <x:v>Reclassify primary from attack to defense; separate task ASR and attribution AUROC; record access to logits as a strong assumption; do not claim confidence is generally robust.</x:v>
      </x:c>
      <x:c r="N41" s="60" t="str">
        <x:v>ready_after_major_patch</x:v>
      </x:c>
      <x:c r="O41" s="60" t="str">
        <x:v>assistant_source_reviewed_pending_author_signoff</x:v>
      </x:c>
    </x:row>
    <x:row r="42">
      <x:c r="A42" s="60" t="n">
        <x:v>41</x:v>
      </x:c>
      <x:c r="B42" s="60" t="str">
        <x:v>kraidia2026collaboration_fails</x:v>
      </x:c>
      <x:c r="C42" s="60" t="str">
        <x:v>Multiple cooperative agents plus one or more adversarial agents; exact group sizes vary by experiment and should be extracted per table rather than reduced to one number.</x:v>
      </x:c>
      <x:c r="D42" s="60" t="str">
        <x:v>Multi-round debate with shared peer responses and final selection/majority vote.</x:v>
      </x:c>
      <x:c r="E42" s="60" t="str">
        <x:v>All agents receive the common question and later peer responses; the attacker adapts to previous rounds.</x:v>
      </x:c>
      <x:c r="F42" s="60" t="str">
        <x:v>Honest debate, lower-capability/vanilla adversary, variations in group size and rounds, and prompt-warning mitigation.</x:v>
      </x:c>
      <x:c r="G42" s="60" t="str">
        <x:v>Two-part outcome: drop in final group accuracy and rise in the fraction of agents agreeing with the adversarial target; paper also reports setting-specific accuracy/consensus changes.</x:v>
      </x:c>
      <x:c r="H42" s="60" t="str">
        <x:v>Question/debate-instance level for final accuracy plus agent-within-round agreement fractions; the headline 10–40% and &gt;30% are ranges across evaluated settings, not one universal effect.</x:v>
      </x:c>
      <x:c r="I42" s="60" t="str">
        <x:v>Yes for benchmark-level collective decision corruption; no external environment action or deployed-system consequence was tested.</x:v>
      </x:c>
      <x:c r="J42" s="60" t="str">
        <x:v>Publisher HTML: abstract and Threat model &amp; Attack design; paper pp. 4-5 Fig. 1/Algorithm 1; pp. 10-11 setup/metrics; pp. 14-16 Figs. 11-13 for mitigation.</x:v>
      </x:c>
      <x:c r="K42" s="60" t="str">
        <x:v>Authors explicitly frame persuasion as an adversarial vector and report benchmark effects. Coding it as collective decision integrity, rather than a separate “persuasion risk,” is the corpus interpretation.</x:v>
      </x:c>
      <x:c r="L42" s="60" t="str">
        <x:v>Peer-reviewed journal evidence. Controlled wrong-target assignment, benchmark QA/voting outcomes, model- and prompt-dependent effect sizes, and prompt-only mitigation limit generalization.</x:v>
      </x:c>
      <x:c r="M42" s="60" t="str">
        <x:v>Retain as attack-primary; record the two metric components separately; do not quote 10–40% or &gt;30% without “across tested settings”; do not equate benchmark vote corruption with real-world harm.</x:v>
      </x:c>
      <x:c r="N42" s="60" t="str">
        <x:v>ready_after_minor_patch</x:v>
      </x:c>
      <x:c r="O42" s="60" t="str">
        <x:v>assistant_source_reviewed_pending_author_signoff</x:v>
      </x:c>
    </x:row>
    <x:row r="43">
      <x:c r="A43" s="60" t="n">
        <x:v>42</x:v>
      </x:c>
      <x:c r="B43" s="60" t="str">
        <x:v>xu2026trust_paradox</x:v>
      </x:c>
      <x:c r="C43" s="60" t="str">
        <x:v>Role-based requester/holder interactions, optionally with a guardian; 1,488 chains across 19 sub-scenes, not 1,488 agents.</x:v>
      </x:c>
      <x:c r="D43" s="60" t="str">
        <x:v>Short closed-loop role interactions under AutoGen, LangGraph, and AgentScope.</x:v>
      </x:c>
      <x:c r="E43" s="60" t="str">
        <x:v>Text requests and responses conditioned on low/medium/high trust.</x:v>
      </x:c>
      <x:c r="F43" s="60" t="str">
        <x:v>MNI reference, no defense, Sensitive Information Repartitioning, Guardian-Agent enablement, trust-level sweeps.</x:v>
      </x:c>
      <x:c r="G43" s="60" t="str">
        <x:v>Task success, Over-Exposure Rate (MNI boundary violations), and Authorization Drift (sensitivity/slope across trust levels).</x:v>
      </x:c>
      <x:c r="H43" s="60" t="str">
        <x:v>Interaction-chain and disclosure-opportunity level as defined by the scenario/MNI labels; do not treat OER or AD as ordinary ASR.</x:v>
      </x:c>
      <x:c r="I43" s="60" t="str">
        <x:v>Policy-label violation is verified in the synthetic environment; no real organization, tool execution, or persistent shared-memory impact is tested.</x:v>
      </x:c>
      <x:c r="J43" s="60" t="str">
        <x:v>ArXiv full text Sec. 3 pp. 3-4 Eqs. 2-4; Sec. 4 pp. 4-5 Tables I-III; Sec. 5 pp. 6-10 Figs. 4-9.</x:v>
      </x:c>
      <x:c r="K43" s="60" t="str">
        <x:v>Authors define a trust-vulnerability trade-off and two metrics. The corpus interpretation maps the observed exposure to confidentiality/authorization and treats trust as a design/precondition variable, not a failure category.</x:v>
      </x:c>
      <x:c r="L43" s="60" t="str">
        <x:v>Peer-reviewed journal metadata, arXiv full text. Synthetic scenario games, short text chains, explicit MNI labels, no dynamic identity/tool/shared-memory deployment, and mixed non-adversarial/adversarial cases.</x:v>
      </x:c>
      <x:c r="M43" s="60" t="str">
        <x:v>Reclassify primary from attack to evaluation; downgrade whole-paper scope to security_relevant while retaining core-security claim records for malicious over-exposure; separate OER/AD units; add final IEEE pages when available.</x:v>
      </x:c>
      <x:c r="N43" s="60" t="str">
        <x:v>ready_after_major_patch</x:v>
      </x:c>
      <x:c r="O43" s="60" t="str">
        <x:v>assistant_source_reviewed_pending_author_signoff</x:v>
      </x:c>
    </x:row>
    <x:row r="44">
      <x:c r="A44" s="60" t="n">
        <x:v>43</x:v>
      </x:c>
      <x:c r="B44" s="60" t="str">
        <x:v>lee2026prompt_infection</x:v>
      </x:c>
      <x:c r="C44" s="60" t="str">
        <x:v>Role-specialized workflow chains and random pairwise societies of 10–50 agents.</x:v>
      </x:c>
      <x:c r="D44" s="60" t="str">
        <x:v>Global-history and local/predecessor messaging workflows; random pairwise population interactions.</x:v>
      </x:c>
      <x:c r="E44" s="60" t="str">
        <x:v>Text payload copied and adapted across downstream messages.</x:v>
      </x:c>
      <x:c r="F44" s="60" t="str">
        <x:v>Non-replicating injection; marking/instruction/reminder/sandwich defenses; LLM Tagging alone and in combination.</x:v>
      </x:c>
      <x:c r="G44" s="60" t="str">
        <x:v>Scenario-specific attack success, infected count/fraction over turns, time to full infection, and defense ASR.</x:v>
      </x:c>
      <x:c r="H44" s="60" t="str">
        <x:v>Metrics change by experiment: workflow instructions/runs versus agents/population/turns. They must not be merged into one generic ASR.</x:v>
      </x:c>
      <x:c r="I44" s="60" t="str">
        <x:v>Yes in synthetic workflow/tool scenarios and simulated populations; no live third-party system attack.</x:v>
      </x:c>
      <x:c r="J44" s="60" t="str">
        <x:v>ArXiv/Springer technical text Sec. 3 pp. 3-4 Fig. 1; Sec. 4.1 p. 5 Fig. 4; Sec. 4.2 pp. 6-7 Fig. 6; Sec. 6 pp. 8-9 Table 2/Fig. 7.</x:v>
      </x:c>
      <x:c r="K44" s="60" t="str">
        <x:v>Authors explicitly call the mechanism Prompt Infection. The corpus should code propagation as primary failure and record theft/manipulation/execution separately as impacts.</x:v>
      </x:c>
      <x:c r="L44" s="60" t="str">
        <x:v>Peer-reviewed workshop chapter, not a main-track archival conference paper. Simplified random dialogues, forgeable textual tags, heterogeneous metrics, and prompt-level defenses limit maturity.</x:v>
      </x:c>
      <x:c r="M44" s="60" t="str">
        <x:v>Use published three-author version; record event/year carefully; keep attack-primary but mark evidence tier as workshop; split propagation metric from downstream impacts and per-workflow ASR.</x:v>
      </x:c>
      <x:c r="N44" s="60" t="str">
        <x:v>ready_after_minor_patch</x:v>
      </x:c>
      <x:c r="O44" s="60" t="str">
        <x:v>assistant_source_reviewed_pending_author_signoff</x:v>
      </x:c>
    </x:row>
    <x:row r="45">
      <x:c r="A45" s="60" t="n">
        <x:v>44</x:v>
      </x:c>
      <x:c r="B45" s="60" t="str">
        <x:v>yang2026among_us</x:v>
      </x:c>
      <x:c r="C45" s="60" t="str">
        <x:v>Pools of benign and malicious models with malicious count/diversity varied; exact size depends on collaboration method.</x:v>
      </x:c>
      <x:c r="D45" s="60" t="str">
        <x:v>Four collaboration levels, only text exchange resembles explicit message-passing MAS.</x:v>
      </x:c>
      <x:c r="E45" s="60" t="str">
        <x:v>Generated-text exchange for debate subset; otherwise routing, numerical aggregation, or parameter merging.</x:v>
      </x:c>
      <x:c r="F45" s="60" t="str">
        <x:v>Benign-only collaboration, unmitigated malicious contributors, external-supervisor masking/disabling.</x:v>
      </x:c>
      <x:c r="G45" s="60" t="str">
        <x:v>Task performance and degradation relative to benign collaboration; recovery fraction after mitigation.</x:v>
      </x:c>
      <x:c r="H45" s="60" t="str">
        <x:v>Dataset/task examples and aggregate performance differences by collaboration method; 7.12%, 7.94%, and 95.31% are reported averages, not attack-success probabilities.</x:v>
      </x:c>
      <x:c r="I45" s="60" t="str">
        <x:v>Verified as benchmark/task-performance and safety degradation; no external action consequence.</x:v>
      </x:c>
      <x:c r="J45" s="60" t="str">
        <x:v>ACL paper Abstract p. 1; Secs. 2.1–2.2 pp. 2-4; Appendix A.1 p. 14 Table 4.</x:v>
      </x:c>
      <x:c r="K45" s="60" t="str">
        <x:v>Authors study model collaboration broadly. Corpus must not silently relabel all four levels as LLM-MAS; only text-level interaction is core, while other levels are adjacent composition evidence.</x:v>
      </x:c>
      <x:c r="L45" s="60" t="str">
        <x:v>Peer-reviewed ACL paper. Broad but heterogeneous collaboration forms, finite tasks/models, performance recovery rather than formal resistance, and unclear persistence/identity in non-text levels.</x:v>
      </x:c>
      <x:c r="M45" s="60" t="str">
        <x:v>Reclassify primary from attack to evaluation; downgrade whole-paper scope to security_relevant; split text-exchange core claims from API/logit/weight adjacent claims; never call performance-degradation percentages ASR.</x:v>
      </x:c>
      <x:c r="N45" s="60" t="str">
        <x:v>ready_after_major_patch</x:v>
      </x:c>
      <x:c r="O45" s="60" t="str">
        <x:v>assistant_source_reviewed_pending_author_signoff</x:v>
      </x:c>
    </x:row>
    <x:row r="46">
      <x:c r="A46" s="60" t="n">
        <x:v>45</x:v>
      </x:c>
      <x:c r="B46" s="60" t="str">
        <x:v>yu2025codes</x:v>
      </x:c>
      <x:c r="C46" s="60" t="str">
        <x:v>One initially attacked agent followed by multiple recipients; configuration varies by scenario and should not be summarized as a single population size.</x:v>
      </x:c>
      <x:c r="D46" s="60" t="str">
        <x:v>Message-chain and composed safeguard configurations used in the three scenarios.</x:v>
      </x:c>
      <x:c r="E46" s="60" t="str">
        <x:v>Textual downstream propagation through retained context.</x:v>
      </x:c>
      <x:c r="F46" s="60" t="str">
        <x:v>GCG, ADC, and other token-level optimization baselines; multi-level safeguards.</x:v>
      </x:c>
      <x:c r="G46" s="60" t="str">
        <x:v>Attack success, self-repetition/propagation success, optimization loss, and optimization efficiency.</x:v>
      </x:c>
      <x:c r="H46" s="60" t="str">
        <x:v>Scenario/run and generated-message level; no single standardized population denominator is reported across all scenarios.</x:v>
      </x:c>
      <x:c r="I46" s="60" t="str">
        <x:v>Yes for self-repetition and downstream harmful-output conditions in the paper’s controlled settings.</x:v>
      </x:c>
      <x:c r="J46" s="60" t="str">
        <x:v>Published PDF Abstract/Introduction pp. 1-2; threat scenarios throughout Sec. 2; method Sec. 3.2 p. 5 Algorithms 1-2; result tables in evaluation section.</x:v>
      </x:c>
      <x:c r="K46" s="60" t="str">
        <x:v>Authors call CODES an MAS attack. Corpus interpretation maps optimization to mechanism and containment to the violated property; it should not be merged with population infection rates from different papers.</x:v>
      </x:c>
      <x:c r="L46" s="60" t="str">
        <x:v>Peer-reviewed conference evidence, but selected topologies/models and scenario-specific metrics; no universal infection curve, open membership, or long-term recovery.</x:v>
      </x:c>
      <x:c r="M46" s="60" t="str">
        <x:v>Keep attack-primary; preserve single-intervention constraint; do not infer population-scale epidemic behavior or compare its success directly with agent-fraction infection metrics.</x:v>
      </x:c>
      <x:c r="N46" s="60" t="str">
        <x:v>ready_after_minor_patch</x:v>
      </x:c>
      <x:c r="O46" s="60" t="str">
        <x:v>assistant_source_reviewed_pending_author_signoff</x:v>
      </x:c>
    </x:row>
    <x:row r="47">
      <x:c r="A47" s="60" t="n">
        <x:v>46</x:v>
      </x:c>
      <x:c r="B47" s="60" t="str">
        <x:v>tian2023evil_geniuses</x:v>
      </x:c>
      <x:c r="C47" s="60" t="str">
        <x:v>One-model baseline, two-agent CAMEL, and seven-agent ChatDev in the cited quantity comparison.</x:v>
      </x:c>
      <x:c r="D47" s="60" t="str">
        <x:v>Framework-native role workflows in CAMEL, MetaGPT, and ChatDev.</x:v>
      </x:c>
      <x:c r="E47" s="60" t="str">
        <x:v>Role-based natural-language collaboration and review.</x:v>
      </x:c>
      <x:c r="F47" s="60" t="str">
        <x:v>Direct/template attacks, isolated LLM, framework/component ablations, reviewer/tester/filter conditions.</x:v>
      </x:c>
      <x:c r="G47" s="60" t="str">
        <x:v>Harmful-output and non-refusal attack-success measures.</x:v>
      </x:c>
      <x:c r="H47" s="60" t="str">
        <x:v>Prompt/query examples per framework/configuration; the paper’s ASR is an output-classification measure, not affected-agent fraction.</x:v>
      </x:c>
      <x:c r="I47" s="60" t="str">
        <x:v>Only output-level safety failure is established.</x:v>
      </x:c>
      <x:c r="J47" s="60" t="str">
        <x:v>ArXiv v2 Sec. 4 p. 5 setup; p. 6 Tables 2-3 for interaction and quantity comparisons; Secs. 3-4 Figs. 2-4 for EG and target settings.</x:v>
      </x:c>
      <x:c r="K47" s="60" t="str">
        <x:v>Authors claim agent systems are less robust in evaluated settings. The corpus must separate the EG attacker scaffold from the attacked MAS and avoid attributing all gains to interaction alone.</x:v>
      </x:c>
      <x:c r="L47" s="60" t="str">
        <x:v>Preprint only; older GPT-3.5/GPT-4 systems, mixed attack-generation/target roles, weak causal isolation, output-only harm, and no persistent/runtime system impact.</x:v>
      </x:c>
      <x:c r="M47" s="60" t="str">
        <x:v>Downgrade from core_security to security_relevant; mark preprint; split attack-generator evidence from target-system evidence; do not treat Table 3’s 1/2/7 comparison as a clean interaction causal estimate.</x:v>
      </x:c>
      <x:c r="N47" s="60" t="str">
        <x:v>ready_after_major_patch</x:v>
      </x:c>
      <x:c r="O47" s="60" t="str">
        <x:v>assistant_source_reviewed_pending_author_signoff</x:v>
      </x:c>
    </x:row>
    <x:row r="48">
      <x:c r="A48" s="60" t="n">
        <x:v>47</x:v>
      </x:c>
      <x:c r="B48" s="60" t="str">
        <x:v>tan2024wolf_within</x:v>
      </x:c>
      <x:c r="C48" s="60" t="str">
        <x:v>Two-stage wolf-to-sheep path, with transfer tests to alternative recipient models.</x:v>
      </x:c>
      <x:c r="D48" s="60" t="str">
        <x:v>One-hop directed pipeline.</x:v>
      </x:c>
      <x:c r="E48" s="60" t="str">
        <x:v>Generated text plus image/audio forwarded to the recipient.</x:v>
      </x:c>
      <x:c r="F48" s="60" t="str">
        <x:v>Direct MLLM jailbreak literature and transfer settings; no exact matched cross-agent baseline.</x:v>
      </x:c>
      <x:c r="G48" s="60" t="str">
        <x:v>Manually judged attack-success rate and transferability across 14 prohibited-content scenarios.</x:v>
      </x:c>
      <x:c r="H48" s="60" t="str">
        <x:v>Scenario/trial outputs; the note flags an unresolved printed trial denominator that requires final PDF confirmation.</x:v>
      </x:c>
      <x:c r="I48" s="60" t="str">
        <x:v>Verified only as harmful recipient output.</x:v>
      </x:c>
      <x:c r="J48" s="60" t="str">
        <x:v>ArXiv v2 Sec. 3 p. 3 Eq. 2/Fig. 2; Sec. 4 pp. 4-5 Table 1/Figs. 2-4.</x:v>
      </x:c>
      <x:c r="K48" s="60" t="str">
        <x:v>Authors use infection/propagation language in the abstract. The demonstrated evidence is one-hop induced compromise, so the corpus must not code epidemic propagation or autonomous retransmission.</x:v>
      </x:c>
      <x:c r="L48" s="60" t="str">
        <x:v>Peer-reviewed workshop evidence. White-box gradients, manual judging, two-agent pipeline, small scenario set, no defense, and unresolved denominator.</x:v>
      </x:c>
      <x:c r="M48" s="60" t="str">
        <x:v>Record ReGenAI workshop rather than CVPR main; primary failure is one-hop safety compromise, not contagion; flag manual metric and denominator; use restrained evidence language.</x:v>
      </x:c>
      <x:c r="N48" s="60" t="str">
        <x:v>ready_after_major_patch</x:v>
      </x:c>
      <x:c r="O48" s="60" t="str">
        <x:v>assistant_source_reviewed_pending_author_signoff</x:v>
      </x:c>
    </x:row>
    <x:row r="49">
      <x:c r="A49" s="60" t="n">
        <x:v>48</x:v>
      </x:c>
      <x:c r="B49" s="60" t="str">
        <x:v>zheng2025integrity_attacks</x:v>
      </x:c>
      <x:c r="C49" s="60" t="str">
        <x:v>Framework-native CAMEL, AutoGen, and MetaGPT role teams; exact counts vary by task/framework.</x:v>
      </x:c>
      <x:c r="D49" s="60" t="str">
        <x:v>Framework-specific role workflows.</x:v>
      </x:c>
      <x:c r="E49" s="60" t="str">
        <x:v>Protocol-valid role messages and artifacts; monitor observes interaction transcript.</x:v>
      </x:c>
      <x:c r="F49" s="60" t="str">
        <x:v>Benign workflows; defensive monitor prompts; default GPT-4o-mini and limited o3-mini monitor check.</x:v>
      </x:c>
      <x:c r="G49" s="60" t="str">
        <x:v>Task metrics plus personal and collective contribution scores; attack effect is score/tool/workload manipulation rather than one ASR.</x:v>
      </x:c>
      <x:c r="H49" s="60" t="str">
        <x:v>Agent/contribution/task records within each framework and attack type; tables report heterogeneous score shifts.</x:v>
      </x:c>
      <x:c r="I49" s="60" t="str">
        <x:v>Yes for internal accounting/coordination signals; real economic/resource or deployed organizational harm is not established.</x:v>
      </x:c>
      <x:c r="J49" s="60" t="str">
        <x:v>ArXiv v1 Abstract p. 1; Sec. 3 pp. 4-6; Sec. 4 p. 6; Sec. 5.3 p. 9 Table 3; Appendix C p. 13 Table 6.</x:v>
      </x:c>
      <x:c r="K49" s="60" t="str">
        <x:v>Authors explicitly define four “integrity attacks.” Corpus should not make them four top-level failure categories; they are mechanisms with attribution, resource-accounting, decision, and authority consequences.</x:v>
      </x:c>
      <x:c r="L49" s="60" t="str">
        <x:v>Preprint only; templated malicious roles, academic frameworks, transcript-only monitors, heterogeneous task scores, and no preventive enforcement or industrial validation.</x:v>
      </x:c>
      <x:c r="M49" s="60" t="str">
        <x:v>Keep attack-primary but mark preprint; replace generic “integrity” with claim-specific failure fields; do not compare contribution-score changes as ASR; avoid treating monitor bypass as complete observability impossibility.</x:v>
      </x:c>
      <x:c r="N49" s="60" t="str">
        <x:v>ready_after_major_patch</x:v>
      </x:c>
      <x:c r="O49" s="60" t="str">
        <x:v>assistant_source_reviewed_pending_author_signoff</x:v>
      </x:c>
    </x:row>
    <x:row r="50">
      <x:c r="A50" s="60" t="n">
        <x:v>49</x:v>
      </x:c>
      <x:c r="B50" s="60" t="str">
        <x:v>xie2025_whos_the_mole</x:v>
      </x:c>
      <x:c r="C50" s="60" t="str">
        <x:v>Benign teams plus one malicious member; exact team size varies by communication structure/task and should be taken from setup tables.</x:v>
      </x:c>
      <x:c r="D50" s="60" t="str">
        <x:v>Centralized, decentralized, and layered structures.</x:v>
      </x:c>
      <x:c r="E50" s="60" t="str">
        <x:v>Multi-round natural-language collaboration plus progressive detector probes.</x:v>
      </x:c>
      <x:c r="F50" s="60" t="str">
        <x:v>Benign runs, two baseline threats, alternative personality/profiling and detection methods.</x:v>
      </x:c>
      <x:c r="G50" s="60" t="str">
        <x:v>Task accuracy, completion efficiency, malicious-agent detection accuracy, and post-intervention recovery.</x:v>
      </x:c>
      <x:c r="H50" s="60" t="str">
        <x:v>Task instances and agent-level detection decisions; no single attack-success denominator across all four attacks.</x:v>
      </x:c>
      <x:c r="I50" s="60" t="str">
        <x:v>Benchmark-level goal/decision degradation is shown; no external action or production incident.</x:v>
      </x:c>
      <x:c r="J50" s="60" t="str">
        <x:v>ArXiv v2 Sec. 4.2 pp. 4-6; Sec. 4.4 pp. 6-7 Figs. 3-6; Sec. 5.1 p. 8 Table 1.</x:v>
      </x:c>
      <x:c r="K50" s="60" t="str">
        <x:v>Authors frame the paper as a systematic attack-and-defense study. Given equal emphasis and a new detector, paper-level primary category is better coded as evaluation; attacks remain claim-level records.</x:v>
      </x:c>
      <x:c r="L50" s="60" t="str">
        <x:v>Preprint only; psychology/interrogation analogy, synthetic prompts, six datasets, bounded topologies, pre-harm probing assumption, and adaptive evasion not fully covered.</x:v>
      </x:c>
      <x:c r="M50" s="60" t="str">
        <x:v>Reclassify paper primary from attack to evaluation; mark preprint; split four mechanisms and one defense; do not equate task-cost degradation with a universal security impact.</x:v>
      </x:c>
      <x:c r="N50" s="60" t="str">
        <x:v>ready_after_major_patch</x:v>
      </x:c>
      <x:c r="O50" s="60" t="str">
        <x:v>assistant_source_reviewed_pending_author_signoff</x:v>
      </x:c>
    </x:row>
    <x:row r="51">
      <x:c r="A51" s="60" t="n">
        <x:v>50</x:v>
      </x:c>
      <x:c r="B51" s="60" t="str">
        <x:v>zhu2025_collaborative_shadows</x:v>
      </x:c>
      <x:c r="C51" s="60" t="str">
        <x:v>Role-specialized teams in AgentBench-MAS (DB), Multi-Role Collaboration Bench, and a MultiAgentBench subset; exact counts differ by benchmark.</x:v>
      </x:c>
      <x:c r="D51" s="60" t="str">
        <x:v>Workflow/role sequence rather than one universal communication graph.</x:v>
      </x:c>
      <x:c r="E51" s="60" t="str">
        <x:v>Tool invocation and inter-role workflow sequence.</x:v>
      </x:c>
      <x:c r="F51" s="60" t="str">
        <x:v>Clean tools, poisoned tools without trigger, and ablations removing attack components.</x:v>
      </x:c>
      <x:c r="G51" s="60" t="str">
        <x:v>Triggered attack success rate, benign-task accuracy, and accidental trigger rate.</x:v>
      </x:c>
      <x:c r="H51" s="60" t="str">
        <x:v>Triggered benchmark episodes/tasks per model and dataset; headline &gt;95% is an aggregate lower bound across reported main settings, not a population metric.</x:v>
      </x:c>
      <x:c r="I51" s="60" t="str">
        <x:v>Yes in the released sandbox; deployment prevalence or real external exfiltration is not established.</x:v>
      </x:c>
      <x:c r="J51" s="60" t="str">
        <x:v>ArXiv v1 Sec. 3 pp. 4-6 Fig. 2; Sec. 4.2 p. 7 and App. B pp. 15-17; Sec. 4.3 pp. 7-9 Table 1/Figs. 3-4; Sec. 5.1 p. 9 Fig. 5.</x:v>
      </x:c>
      <x:c r="K51" s="60" t="str">
        <x:v>Authors claim a distributed backdoor. Corpus maps primitive distribution/sequence to mechanism and unauthorized global action to failure; “local scanning cannot detect it” is a reasoned implication, not a proven universal impossibility.</x:v>
      </x:c>
      <x:c r="L51" s="60" t="str">
        <x:v>Preprint only; synthetic/sandbox benchmarks, constructed primitives, low capability on one subset, no deployed prevalence, no complete defense.</x:v>
      </x:c>
      <x:c r="M51" s="60" t="str">
        <x:v>Keep attack-primary but label preliminary; separate ASR from benign accuracy/accidental triggers; avoid broad impossibility claim about local scanning; code confidentiality only for relevant payloads.</x:v>
      </x:c>
      <x:c r="N51" s="60" t="str">
        <x:v>ready_after_major_patch</x:v>
      </x:c>
      <x:c r="O51" s="60" t="str">
        <x:v>assistant_source_reviewed_pending_author_signoff</x:v>
      </x:c>
    </x:row>
    <x:row r="52">
      <x:c r="A52" s="60" t="n">
        <x:v>51</x:v>
      </x:c>
      <x:c r="B52" s="60" t="str">
        <x:v>liang2025_dont_trust_upstream</x:v>
      </x:c>
      <x:c r="C52" s="60" t="str">
        <x:v>Varies across Magentic-One, LangManus, OWL, GPT-Researcher, and trading app; do not substitute topology count for agent count.</x:v>
      </x:c>
      <x:c r="D52" s="60" t="str">
        <x:v>Tree, chain, star, ring, and mesh.</x:v>
      </x:c>
      <x:c r="E52" s="60" t="str">
        <x:v>Multi-hop role/task messages from exposed edge to privileged target.</x:v>
      </x:c>
      <x:c r="F52" s="60" t="str">
        <x:v>Topology-unaware flooding, shortest-path variants, stage ablations, and T-Guard.</x:v>
      </x:c>
      <x:c r="G52" s="60" t="str">
        <x:v>Topology-reconstruction F1, ASR, infection-integrity score, consistency, blocking rate, latency, and resource overhead.</x:v>
      </x:c>
      <x:c r="H52" s="60" t="str">
        <x:v>Benchmark episodes and 20 application scenarios; 17/20 corresponds to 85% application-scenario success, while 40–78% is framework/topology dependent.</x:v>
      </x:c>
      <x:c r="I52" s="60" t="str">
        <x:v>Yes in locally deployed framework/application testbeds; not verified against independent production services.</x:v>
      </x:c>
      <x:c r="J52" s="60" t="str">
        <x:v>ArXiv v2 Sec. V pp. 5-10 Fig. 3; Sec. VII-D pp. 12-14 Table III; Sec. VII-E p. 15 Table VII; Sec. VII-F pp. 15-16 Tables VIII-X.</x:v>
      </x:c>
      <x:c r="K52" s="60" t="str">
        <x:v>Authors call the two locally deployed systems “real-world MAS applications.” Corpus should describe them as end-to-end local applications, not evidence of field deployment prevalence.</x:v>
      </x:c>
      <x:c r="L52" s="60" t="str">
        <x:v>Preprint only; attack-selected scenarios, locally instantiated frameworks, broad attacker adaptation, same-family defense evaluation, and no independent reproduction.</x:v>
      </x:c>
      <x:c r="M52" s="60" t="str">
        <x:v>Keep attack-primary and core scope; label preprint; distinguish reconstruction F1, ASR, application 17/20, and blocking rate; qualify “real-world”; split topology inference from authority impact.</x:v>
      </x:c>
      <x:c r="N52" s="60" t="str">
        <x:v>ready_after_major_patch</x:v>
      </x:c>
      <x:c r="O52" s="60" t="str">
        <x:v>assistant_source_reviewed_pending_author_signoff</x:v>
      </x:c>
    </x:row>
    <x:row r="53">
      <x:c r="A53" s="60" t="n">
        <x:v>52</x:v>
      </x:c>
      <x:c r="B53" s="60" t="str">
        <x:v>weckbecker2026_thought_virus</x:v>
      </x:c>
      <x:c r="C53" s="60" t="str">
        <x:v>Six-agent chain/bidirectional chain for concept experiments; three-agent chain for TruthfulQA.</x:v>
      </x:c>
      <x:c r="D53" s="60" t="str">
        <x:v>Forward chain and bidirectional chain.</x:v>
      </x:c>
      <x:c r="E53" s="60" t="str">
        <x:v>Paraphrased natural-language messages; signal is semantic/behavioral rather than exact-string relay.</x:v>
      </x:c>
      <x:c r="F53" s="60" t="str">
        <x:v>Random tokens, neutral prompts, non-conversational preference controls.</x:v>
      </x:c>
      <x:c r="G53" s="60" t="str">
        <x:v>Target response rate, target log probability, fold increase, and TruthfulQA accuracy/log probability.</x:v>
      </x:c>
      <x:c r="H53" s="60" t="str">
        <x:v>Agent-hop/question/model observations; fold change is not an infection rate and should not be compared to ASR.</x:v>
      </x:c>
      <x:c r="I53" s="60" t="str">
        <x:v>Controlled behavioral preference and truthfulness effect only; no tool action, policy violation, or external harm.</x:v>
      </x:c>
      <x:c r="J53" s="60" t="str">
        <x:v>ArXiv v1 Abstract p. 1; Sec. 3 pp. 4-5 Figs. 2-3; Sec. 4 pp. 5-8 Tables 1-2; discussion pp. 8-9.</x:v>
      </x:c>
      <x:c r="K53" s="60" t="str">
        <x:v>Authors call the effect “viral misalignment.” Corpus should treat this as preliminary covert preference propagation and avoid claiming general misalignment or content-monitor impossibility.</x:v>
      </x:c>
      <x:c r="L53" s="60" t="str">
        <x:v>Preprint only; two small open models, chain topologies, controlled animal/number concepts, decaying effect, and narrow truthfulness test.</x:v>
      </x:c>
      <x:c r="M53" s="60" t="str">
        <x:v>Downgrade scope to security_relevant; do not translate fold increase into ASR; qualify “misalignment” and monitoring claims; retain as an emerging observer/propagation perspective rather than headline evidence.</x:v>
      </x:c>
      <x:c r="N53" s="60" t="str">
        <x:v>ready_after_major_patch</x:v>
      </x:c>
      <x:c r="O53" s="60" t="str">
        <x:v>assistant_source_reviewed_pending_author_signoff</x:v>
      </x:c>
    </x:row>
    <x:row r="54">
      <x:c r="A54" s="60" t="n">
        <x:v>53</x:v>
      </x:c>
      <x:c r="B54" s="60" t="str">
        <x:v>lupinacci2025darkside</x:v>
      </x:c>
      <x:c r="C54" s="60" t="str">
        <x:v>One malicious/requesting peer and one victim in the MAS-specific condition; 18 refers to model backbones, not agents.</x:v>
      </x:c>
      <x:c r="D54" s="60" t="str">
        <x:v>Direct attacker-agent to victim-agent request path.</x:v>
      </x:c>
      <x:c r="E54" s="60" t="str">
        <x:v>Natural-language peer request.</x:v>
      </x:c>
      <x:c r="F54" s="60" t="str">
        <x:v>Direct prompt injection and RAG backdoor with identical/similar harmful objective.</x:v>
      </x:c>
      <x:c r="G54" s="60" t="str">
        <x:v>Fraction of 18 tested model backbones that execute/complete the requested compromise under each origin condition.</x:v>
      </x:c>
      <x:c r="H54" s="60" t="str">
        <x:v>Models/backbones (18), not prompts, tasks, agents, or populations: 17/18 direct, 15/18 RAG, 18/18 inter-agent.</x:v>
      </x:c>
      <x:c r="I54" s="60" t="str">
        <x:v>Controlled system-action execution is demonstrated; deployment prevalence is not.</x:v>
      </x:c>
      <x:c r="J54" s="60" t="str">
        <x:v>ArXiv v6 Abstract p. 1; attack-surface and inter-agent sections pp. 5-6; evaluation pp. 5-6.</x:v>
      </x:c>
      <x:c r="K54" s="60" t="str">
        <x:v>Authors attribute differences to context-dependent trust boundaries. Corpus should code one MAS claim record and preserve direct/RAG conditions as baselines, not count the whole paper as exclusively multiagent.</x:v>
      </x:c>
      <x:c r="L54" s="60" t="str">
        <x:v>Preprint only; small two-agent provenance experiment, controlled environment, denominator is model count, no prevalence or robust defense, provider/model versions may change.</x:v>
      </x:c>
      <x:c r="M54" s="60" t="str">
        <x:v>Downgrade paper scope to security_relevant; separate MAS condition from single-agent comparators; state 100% as 18/18 tested model backbones; do not generalize to universal compromise.</x:v>
      </x:c>
      <x:c r="N54" s="60" t="str">
        <x:v>ready_after_major_patch</x:v>
      </x:c>
      <x:c r="O54" s="60" t="str">
        <x:v>assistant_source_reviewed_pending_author_signoff</x:v>
      </x:c>
    </x:row>
    <x:row r="55">
      <x:c r="A55" s="60" t="n">
        <x:v>54</x:v>
      </x:c>
      <x:c r="B55" s="60" t="str">
        <x:v>sun2026insider</x:v>
      </x:c>
      <x:c r="C55" s="60" t="str">
        <x:v>Small controlled GPT-4o group with one attacker; exact group size must be taken from full experiment, not inferred from abstract.</x:v>
      </x:c>
      <x:c r="D55" s="60" t="str">
        <x:v>Iterative deliberation/consensus setting; no broad topology sweep.</x:v>
      </x:c>
      <x:c r="E55" s="60" t="str">
        <x:v>Protocol-valid natural-language messages over episodes.</x:v>
      </x:c>
      <x:c r="F55" s="60" t="str">
        <x:v>Direct malicious-prompt attacker.</x:v>
      </x:c>
      <x:c r="G55" s="60" t="str">
        <x:v>Benign consensus rate and episode duration.</x:v>
      </x:c>
      <x:c r="H55" s="60" t="str">
        <x:v>Consensus episodes; duration/termination and agreement are separate metrics, not task ASR.</x:v>
      </x:c>
      <x:c r="I55" s="60" t="str">
        <x:v>Only preliminary controlled consensus outcomes are shown.</x:v>
      </x:c>
      <x:c r="J55" s="60" t="str">
        <x:v>ArXiv v1 Abstract p. 1; problem formulation pp. 1-3; method pp. 2-4; experiment/results pp. 3-4.</x:v>
      </x:c>
      <x:c r="K55" s="60" t="str">
        <x:v>Authors explicitly label results preliminary. Corpus must not treat this as a mature Byzantine robustness or impossibility result.</x:v>
      </x:c>
      <x:c r="L55" s="60" t="str">
        <x:v>Preprint v1, preliminary results, one model family, small controlled setting, no defense, no formal consensus guarantee, no topology/membership variation.</x:v>
      </x:c>
      <x:c r="M55" s="60" t="str">
        <x:v>Keep core attack claim but mark preliminary; do not compare with BFT fault thresholds; separate agreement rate from episode duration; avoid category-level conclusion based on this paper.</x:v>
      </x:c>
      <x:c r="N55" s="60" t="str">
        <x:v>ready_after_major_patch</x:v>
      </x:c>
      <x:c r="O55" s="60" t="str">
        <x:v>assistant_source_reviewed_pending_author_signoff</x:v>
      </x:c>
    </x:row>
    <x:row r="56">
      <x:c r="A56" s="60" t="n">
        <x:v>55</x:v>
      </x:c>
      <x:c r="B56" s="60" t="str">
        <x:v>ahad2026sif</x:v>
      </x:c>
      <x:c r="C56" s="60" t="str">
        <x:v>One orchestrator plus a multi-step plan/components; exact number of independently stateful agents is unclear and must not be inferred from six classifier families.</x:v>
      </x:c>
      <x:c r="D56" s="60" t="str">
        <x:v>Central decomposition pipeline.</x:v>
      </x:c>
      <x:c r="E56" s="60" t="str">
        <x:v>Plan/subtask dispatch; full execution interaction is not necessarily modeled.</x:v>
      </x:c>
      <x:c r="F56" s="60" t="str">
        <x:v>Local subtask classifiers without plan-level verifier; compositional verifier plus taint analysis.</x:v>
      </x:c>
      <x:c r="G56" s="60" t="str">
        <x:v>Scenario-level attack success, local-classifier pass rate, and defense false-positive/detection outcomes.</x:v>
      </x:c>
      <x:c r="H56" s="60" t="str">
        <x:v>14 generated enterprise scenarios: 10/14 = 71.4%; six classifier families are not the denominator for attack success.</x:v>
      </x:c>
      <x:c r="I56" s="60" t="str">
        <x:v>Policy-violating generated plans are confirmed; actual plan execution or deployed enterprise impact is not shown.</x:v>
      </x:c>
      <x:c r="J56" s="60" t="str">
        <x:v>Published/arXiv Abstract p. 1; threat/model sections; evaluation result reporting 10/14; publisher metadata for Vol. 9 No. 1 pp. 229–237.</x:v>
      </x:c>
      <x:c r="K56" s="60" t="str">
        <x:v>Authors call it a multi-agent AI pipeline attack. Corpus should preserve a boundary flag because separately addressable LLM agents are not clearly established, and zero false positives in 14 cases is not a general guarantee.</x:v>
      </x:c>
      <x:c r="L56" s="60" t="str">
        <x:v>Peer-reviewed symposium paper; 14 generated scenarios, one orchestrator, uncertain strict-MAS boundary, generated plans rather than executed effects, same-study defense.</x:v>
      </x:c>
      <x:c r="M56" s="60" t="str">
        <x:v>Downgrade scope to security_relevant/boundary; clarify 10/14 denominator; qualify “all detected/no false positives”; do not count classifier families as agents; author signoff publisher metadata.</x:v>
      </x:c>
      <x:c r="N56" s="60" t="str">
        <x:v>ready_after_major_patch</x:v>
      </x:c>
      <x:c r="O56" s="60" t="str">
        <x:v>assistant_source_reviewed_pending_author_signoff</x:v>
      </x:c>
    </x:row>
    <x:row r="57">
      <x:c r="A57" s="60" t="n">
        <x:v>56</x:v>
      </x:c>
      <x:c r="B57" s="60" t="str">
        <x:v>cai2026grmp</x:v>
      </x:c>
      <x:c r="C57" s="60" t="str">
        <x:v>Multiple federated clients plus central aggregator; exact client counts vary by experiment.</x:v>
      </x:c>
      <x:c r="D57" s="60" t="str">
        <x:v>Star-like federated training topology.</x:v>
      </x:c>
      <x:c r="E57" s="60" t="str">
        <x:v>Model-parameter/update exchange, not natural-language runtime agent messaging.</x:v>
      </x:c>
      <x:c r="F57" s="60" t="str">
        <x:v>Conventional poisoning attacks and distance/similarity defenses.</x:v>
      </x:c>
      <x:c r="G57" s="60" t="str">
        <x:v>Global-model accuracy degradation and attack detectability/statistical similarity.</x:v>
      </x:c>
      <x:c r="H57" s="60" t="str">
        <x:v>Model/dataset/client experimental configurations, not tasks or agent interactions; exact counts require table extraction.</x:v>
      </x:c>
      <x:c r="I57" s="60" t="str">
        <x:v>Training-time global-model degradation only.</x:v>
      </x:c>
      <x:c r="J57" s="60" t="str">
        <x:v>ArXiv v3 Abstract p. 1 and method/evaluation sections; IEEE DOI metadata pp. 956–961 and formal author list.</x:v>
      </x:c>
      <x:c r="K57" s="60" t="str">
        <x:v>Authors frame the system as Internet of Agents. Corpus scope interpretation classifies it adjacent because the interaction is federated training, not runtime LLM-agent collaboration.</x:v>
      </x:c>
      <x:c r="L57" s="60" t="str">
        <x:v>Peer-reviewed short wireless conference paper; training-only, centralized aggregator, tested models/data distributions, no runtime agent behavior or system action.</x:v>
      </x:c>
      <x:c r="M57" s="60" t="str">
        <x:v>Correct author order; move from core_security to adjacent; exclude from core runtime attack counts; retain as foundational/adjacent aggregation-integrity evidence.</x:v>
      </x:c>
      <x:c r="N57" s="60" t="str">
        <x:v>ready_after_major_patch</x:v>
      </x:c>
      <x:c r="O57" s="60" t="str">
        <x:v>assistant_source_reviewed_pending_author_signoff</x:v>
      </x:c>
    </x:row>
    <x:row r="58">
      <x:c r="A58" s="60" t="n">
        <x:v>57</x:v>
      </x:c>
      <x:c r="B58" s="60" t="str">
        <x:v>huang2026mcpthreatmodel</x:v>
      </x:c>
      <x:c r="C58" s="60" t="str">
        <x:v>One host/LLM connected to MCP servers/tools; seven refers to clients evaluated, not agents.</x:v>
      </x:c>
      <x:c r="D58" s="60" t="str">
        <x:v>Client-server protocol architecture.</x:v>
      </x:c>
      <x:c r="E58" s="60" t="str">
        <x:v>MCP metadata and tool invocation messages.</x:v>
      </x:c>
      <x:c r="F58" s="60" t="str">
        <x:v>Existing validation, approval, and parameter-visibility behavior of seven MCP clients.</x:v>
      </x:c>
      <x:c r="G58" s="60" t="str">
        <x:v>Client security-feature coverage and attack handling/visibility comparisons; not a unified ASR.</x:v>
      </x:c>
      <x:c r="H58" s="60" t="str">
        <x:v>Seven client implementations and selected poisoning scenarios/features.</x:v>
      </x:c>
      <x:c r="I58" s="60" t="str">
        <x:v>Client behavior/trust-boundary weaknesses are empirically compared; not a multi-agent system-level effect.</x:v>
      </x:c>
      <x:c r="J58" s="60" t="str">
        <x:v>Published HTML Sec. 3 Fig. 1/Tables 1-6; Secs. 4-6 evaluation tables; publisher metadata Vol. 6 Issue 3 Article 84.</x:v>
      </x:c>
      <x:c r="K58" s="60" t="str">
        <x:v>Authors study MCP threat modeling and clients. Corpus interpretation moves it out of core MAS because protocol endpoints are not necessarily LLM agents.</x:v>
      </x:c>
      <x:c r="L58" s="60" t="str">
        <x:v>Peer-reviewed journal article, but adjacent scope, selected client versions, two main trust boundaries, and many mitigations proposed rather than implemented end-to-end.</x:v>
      </x:c>
      <x:c r="M58" s="60" t="str">
        <x:v>Move from core_security to adjacent; reclassify primary from attack to evaluation/threat modeling; do not count seven clients as agents; do not include in core MAS attack denominator.</x:v>
      </x:c>
      <x:c r="N58" s="60" t="str">
        <x:v>ready_after_major_patch</x:v>
      </x:c>
      <x:c r="O58" s="60" t="str">
        <x:v>assistant_source_reviewed_pending_author_signoff</x:v>
      </x:c>
    </x:row>
    <x:row r="59">
      <x:c r="A59" s="60" t="n">
        <x:v>58</x:v>
      </x:c>
      <x:c r="B59" s="60" t="str">
        <x:v>xiao2026sgoatmas</x:v>
      </x:c>
      <x:c r="C59" s="60" t="str">
        <x:v>Two to four agents in the scaled decentralized setting; other centralized/hierarchical counts vary.</x:v>
      </x:c>
      <x:c r="D59" s="60" t="str">
        <x:v>Hierarchical, centralized, and decentralized.</x:v>
      </x:c>
      <x:c r="E59" s="60" t="str">
        <x:v>Natural-language reasoning links.</x:v>
      </x:c>
      <x:c r="F59" s="60" t="str">
        <x:v>Benign execution and naive direct attack.</x:v>
      </x:c>
      <x:c r="G59" s="60" t="str">
        <x:v>Final system Accuracy, Detection Rate, Scapegoat Accuracy, and Vulnerability-to-Risk Ratio.</x:v>
      </x:c>
      <x:c r="H59" s="60" t="str">
        <x:v>Task instances and detector decisions; Detection Rate is detector-specific and is not proof of general undetectability.</x:v>
      </x:c>
      <x:c r="I59" s="60" t="str">
        <x:v>Benchmark-level final-answer corruption and attribution shifts only.</x:v>
      </x:c>
      <x:c r="J59" s="60" t="str">
        <x:v>Workshop PDF Sec. 4 pp. 4-6 Fig. 1; Sec. 5 pp. 7-9 Tables 1-2.</x:v>
      </x:c>
      <x:c r="K59" s="60" t="str">
        <x:v>Authors introduce scapegoating. Corpus maps it to mechanism and treats reliable attribution as the additional property; low detection is specific to the evaluated detector.</x:v>
      </x:c>
      <x:c r="L59" s="60" t="str">
        <x:v>Peer-reviewed workshop/oral evidence, small populations, five benchmarks, generated payloads, detector-specific visibility, no real deployment or defense.</x:v>
      </x:c>
      <x:c r="M59" s="60" t="str">
        <x:v>Mark workshop evidence tier; keep attack-primary; separate system accuracy, detection, and scapegoat metrics; do not claim general covert/undetectable attack; deduplicate earlier submission.</x:v>
      </x:c>
      <x:c r="N59" s="60" t="str">
        <x:v>ready_after_minor_patch</x:v>
      </x:c>
      <x:c r="O59" s="60" t="str">
        <x:v>assistant_source_reviewed_pending_author_signoff</x:v>
      </x:c>
    </x:row>
    <x:row r="60">
      <x:c r="A60" s="60" t="n">
        <x:v>59</x:v>
      </x:c>
      <x:c r="B60" s="60" t="str">
        <x:v>han2025alignment_tipping</x:v>
      </x:c>
      <x:c r="C60" s="60" t="str">
        <x:v>Eight agents in the MAS diffusion evaluation.</x:v>
      </x:c>
      <x:c r="D60" s="60" t="str">
        <x:v>Constructed coordination game/population; exact peer-observation graph must be preserved from setup.</x:v>
      </x:c>
      <x:c r="E60" s="60" t="str">
        <x:v>Observation/imitation of peer strategies and outcomes.</x:v>
      </x:c>
      <x:c r="F60" s="60" t="str">
        <x:v>Non-evolving and alignment-trained variants; single-agent exploration pathway.</x:v>
      </x:c>
      <x:c r="G60" s="60" t="str">
        <x:v>Violation rate, tool use, task performance, and evolution over rounds.</x:v>
      </x:c>
      <x:c r="H60" s="60" t="str">
        <x:v>Agents/rounds/episodes in constructed testbeds; not ASR.</x:v>
      </x:c>
      <x:c r="I60" s="60" t="str">
        <x:v>Endogenous simulated behavior drift; no adversarial attack or external action validation.</x:v>
      </x:c>
      <x:c r="J60" s="60" t="str">
        <x:v>ArXiv v2 Abstract p. 1; Sec. 2 pp. 3-4 Fig. 2; Sec. 3 pp. 6-7 Figs. 4-5.</x:v>
      </x:c>
      <x:c r="K60" s="60" t="str">
        <x:v>Authors call ATP a post-deployment risk. Corpus must not recode it as an attack; only the diffusion pathway is MAS-specific and it supports an emerging failure/observability perspective.</x:v>
      </x:c>
      <x:c r="L60" s="60" t="str">
        <x:v>Preprint, constructed games, eight agents, no attacker, one of two paradigms single-agent, alignment notion/testbed specific, limited defense comparison.</x:v>
      </x:c>
      <x:c r="M60" s="60" t="str">
        <x:v>Reclassify primary from attack to evaluation/failure study; retain security_relevant scope; split MAS diffusion from single-agent exploration; exclude from attack counts and use cautious “emerging evidence” language.</x:v>
      </x:c>
      <x:c r="N60" s="60" t="str">
        <x:v>ready_after_major_patch</x:v>
      </x:c>
      <x:c r="O60" s="60" t="str">
        <x:v>assistant_source_reviewed_pending_author_signoff</x:v>
      </x:c>
    </x:row>
    <x:row r="61">
      <x:c r="A61" s="60" t="n">
        <x:v>60</x:v>
      </x:c>
      <x:c r="B61" s="60" t="str">
        <x:v>long2025funcpoison</x:v>
      </x:c>
      <x:c r="C61" s="60" t="str">
        <x:v>Specialized pipelines in two systems; exact role count differs and should be extracted per architecture.</x:v>
      </x:c>
      <x:c r="D61" s="60" t="str">
        <x:v>Perception/memory/reasoning/planning pipeline.</x:v>
      </x:c>
      <x:c r="E61" s="60" t="str">
        <x:v>Tool outputs and agent-to-agent intermediate results.</x:v>
      </x:c>
      <x:c r="F61" s="60" t="str">
        <x:v>GCG, AutoDAN, CPA, BadChain, AgentPoison, instruction/filter defenses.</x:v>
      </x:c>
      <x:c r="G61" s="60" t="str">
        <x:v>L2 trajectory error, collision rate, and ASR thresholded at L2 error 3 or 6.</x:v>
      </x:c>
      <x:c r="H61" s="60" t="str">
        <x:v>Driving episodes/samples; ASR definition changes with the specified L2 threshold and must always include it.</x:v>
      </x:c>
      <x:c r="I61" s="60" t="str">
        <x:v>Trajectory/collision metrics in nuScenes-derived evaluation, not live vehicle impact.</x:v>
      </x:c>
      <x:c r="J61" s="60" t="str">
        <x:v>ArXiv v2 Abstract/Sec. 1 pp. 1-2 Fig. 1; method pp. 2-4 Figs. 2-3; Sec. 5 pp. 6-8 Table 2/Figs. 5-6.</x:v>
      </x:c>
      <x:c r="K61" s="60" t="str">
        <x:v>Authors call it a function-library attack. Corpus should distinguish the initial artifact integrity failure from downstream trajectory impact and not call all propagation authority escalation.</x:v>
      </x:c>
      <x:c r="L61" s="60" t="str">
        <x:v>Preprint only; two driving frameworks, nuScenes-derived tasks, threshold-sensitive ASR, synthetic malicious tools, no live vehicle, incomplete defenses.</x:v>
      </x:c>
      <x:c r="M61" s="60" t="str">
        <x:v>Keep attack-primary; require ASR threshold in every numeric claim; separate tool-state integrity and trajectory impact; avoid real-world safety extrapolation.</x:v>
      </x:c>
      <x:c r="N61" s="60" t="str">
        <x:v>ready_after_major_patch</x:v>
      </x:c>
      <x:c r="O61" s="60" t="str">
        <x:v>assistant_source_reviewed_pending_author_signoff</x:v>
      </x:c>
    </x:row>
    <x:row r="62">
      <x:c r="A62" s="60" t="n">
        <x:v>61</x:v>
      </x:c>
      <x:c r="B62" s="60" t="str">
        <x:v>naik2026omni_leak</x:v>
      </x:c>
      <x:c r="C62" s="60" t="str">
        <x:v>One orchestrator, SQL/data agent, notification agent; appendices include variants.</x:v>
      </x:c>
      <x:c r="D62" s="60" t="str">
        <x:v>Central orchestrator with specialized workers.</x:v>
      </x:c>
      <x:c r="E62" s="60" t="str">
        <x:v>Delegated natural-language/tool workflow and data returned to orchestrator/notification agent.</x:v>
      </x:c>
      <x:c r="F62" s="60" t="str">
        <x:v>Direct and indirect attack variants; per-agent access control; model/database/query variations.</x:v>
      </x:c>
      <x:c r="G62" s="60" t="str">
        <x:v>Strict exact-match end-to-end attack success plus benign task correctness.</x:v>
      </x:c>
      <x:c r="H62" s="60" t="str">
        <x:v>Workflow attack instances/queries; success requires correct sensitive content at correct attacker recipient, so partial or wrong-recipient cases are failures.</x:v>
      </x:c>
      <x:c r="I62" s="60" t="str">
        <x:v>End-to-end synthetic email exfiltration is verified; no production database/email service.</x:v>
      </x:c>
      <x:c r="J62" s="60" t="str">
        <x:v>ArXiv v2 Abstract p. 1; Sec. 4.1 pp. 3-4 Figs. 2-3; Sec. 4.2 p. 4 Fig. 4; Sec. 5 pp. 4-7 Tables 1-5.</x:v>
      </x:c>
      <x:c r="K62" s="60" t="str">
        <x:v>Authors demonstrate access control does not compose into end-to-end noninterference. Corpus should avoid saying “all agents compromised” unless the paper’s role-specific criteria are met.</x:v>
      </x:c>
      <x:c r="L62" s="60" t="str">
        <x:v>Preprint; synthetic employee database/email API, fixed orchestrator pattern, five frontier model families, strict metric, no complete defense or real deployment.</x:v>
      </x:c>
      <x:c r="M62" s="60" t="str">
        <x:v>Keep attack-primary/core; label preprint; preserve exact success predicate; clarify agent count and seven-author list; do not generalize to all orchestrator MAS.</x:v>
      </x:c>
      <x:c r="N62" s="60" t="str">
        <x:v>ready_after_minor_patch</x:v>
      </x:c>
      <x:c r="O62" s="60" t="str">
        <x:v>assistant_source_reviewed_pending_author_signoff</x:v>
      </x:c>
    </x:row>
    <x:row r="63">
      <x:c r="A63" s="60" t="n">
        <x:v>62</x:v>
      </x:c>
      <x:c r="B63" s="60" t="str">
        <x:v>zhou2026shield_target</x:v>
      </x:c>
      <x:c r="C63" s="60" t="str">
        <x:v>Co-located agents sharing guardrail in MAS evaluation; exact count must be taken from Sec. 7.2/Table 10.</x:v>
      </x:c>
      <x:c r="D63" s="60" t="str">
        <x:v>Shared centralized guardrail bottleneck rather than agent communication graph.</x:v>
      </x:c>
      <x:c r="E63" s="60" t="str">
        <x:v>Agent requests pass through a common guardrail service; intermediate rewriting tested for payload resilience.</x:v>
      </x:c>
      <x:c r="F63" s="60" t="str">
        <x:v>Prior reasoning-extension/adversarial methods, filters, token/time budgets, fail-open/fail-closed handling.</x:v>
      </x:c>
      <x:c r="G63" s="60" t="str">
        <x:v>Generated tokens, latency amplification, throughput, blocked/task-success outcomes.</x:v>
      </x:c>
      <x:c r="H63" s="60" t="str">
        <x:v>Request/deployment-level resource ratios; amplification factors are ratios, not ASR or affected-agent fraction.</x:v>
      </x:c>
      <x:c r="I63" s="60" t="str">
        <x:v>Shared-service starvation is shown in a controlled LangGraph-style deployment; no production outage.</x:v>
      </x:c>
      <x:c r="J63" s="60" t="str">
        <x:v>ArXiv v2 Abstract p. 1; Secs. 3-5 pp. 4-7 Fig. 1; Sec. 7.2 pp. 11-12 Table 10; conclusion p. 16.</x:v>
      </x:c>
      <x:c r="K63" s="60" t="str">
        <x:v>Authors present a general agent-guardrail DoS and a MAS deployment consequence. Corpus must not count it as interaction-unique or use standalone amplification as a MAS metric.</x:v>
      </x:c>
      <x:c r="L63" s="60" t="str">
        <x:v>Preprint only; MAS is one of four deployments, centralized shared service, payload/scheduler configuration dependent, no production incident, defenses involve safety-availability trade-off.</x:v>
      </x:c>
      <x:c r="M63" s="60" t="str">
        <x:v>Retain security_relevant rather than core; isolate MAS-specific starvation claim; separate token/latency ratios from ASR; do not label primitive unique to MAS.</x:v>
      </x:c>
      <x:c r="N63" s="60" t="str">
        <x:v>ready_after_major_patch</x:v>
      </x:c>
      <x:c r="O63" s="60" t="str">
        <x:v>assistant_source_reviewed_pending_author_signoff</x:v>
      </x:c>
    </x:row>
    <x:row r="64">
      <x:c r="A64" s="60" t="n">
        <x:v>63</x:v>
      </x:c>
      <x:c r="B64" s="60" t="str">
        <x:v>rosser2025agentbreeder</x:v>
      </x:c>
      <x:c r="C64" s="60" t="str">
        <x:v>Variable generated scaffolds; exact population sizes/configurations must be read from the individual discovered programs rather than summarized as one agent count.</x:v>
      </x:c>
      <x:c r="D64" s="60" t="str">
        <x:v>Automatically generated scaffold/program structures rather than one fixed topology.</x:v>
      </x:c>
      <x:c r="E64" s="60" t="str">
        <x:v>Defined by each generated scaffold and may include sequential or multi-agent exchanges.</x:v>
      </x:c>
      <x:c r="F64" s="60" t="str">
        <x:v>Chain-of-thought, self-consistency, hand-designed scaffolds, and capability-only or safety-aware evolutionary objectives.</x:v>
      </x:c>
      <x:c r="G64" s="60" t="str">
        <x:v>Safety benchmark score, capability benchmark score, Pareto performance, and helpfulness checks used to expose reward hacking.</x:v>
      </x:c>
      <x:c r="H64" s="60" t="str">
        <x:v>Benchmark-example and scaffold-level aggregate scores; “79.4% uplift” is a relative average benchmark improvement across three blue-mode runs, not attack success rate.</x:v>
      </x:c>
      <x:c r="I64" s="60" t="str">
        <x:v>Only benchmark-level scaffold safety and capability effects are verified.</x:v>
      </x:c>
      <x:c r="J64" s="60" t="str">
        <x:v>NeurIPS official program abstract for publication identity and 79.4% result; conference paper Secs. 4–5 and result figures/tables for blue/red modes and reward hacking. Exact PDF locators remain for author signoff.</x:v>
      </x:c>
      <x:c r="K64" s="60" t="str">
        <x:v>Authors explicitly present blue and red evolutionary modes. Coding this as design-time prevention/evaluation rather than an attack-primary runtime paper is the corpus interpretation.</x:v>
      </x:c>
      <x:c r="L64" s="60" t="str">
        <x:v>Peer-reviewed spotlight. Results depend on benchmark fitness, finite evolutionary budgets, generated scaffolds, and exhibit reward-hacking risk; safety-score uplift is not a security guarantee.</x:v>
      </x:c>
      <x:c r="M64" s="60" t="str">
        <x:v>Use the NeurIPS title and spotlight venue; merge the earlier arXiv title; recategorize from mixed defense/attack to defense/evaluation primary; do not treat the 79.4% safety uplift as attack robustness or a guarantee.</x:v>
      </x:c>
      <x:c r="N64" s="60" t="str">
        <x:v>ready_after_major_patch</x:v>
      </x:c>
      <x:c r="O64" s="60" t="str">
        <x:v>assistant_source_reviewed_pending_author_signoff</x:v>
      </x:c>
    </x:row>
    <x:row r="65">
      <x:c r="A65" s="60" t="n">
        <x:v>64</x:v>
      </x:c>
      <x:c r="B65" s="60" t="str">
        <x:v>mao2025agentsafe</x:v>
      </x:c>
      <x:c r="C65" s="60" t="str">
        <x:v>Varied in scalability experiments; exact counts should be copied from the paper tables rather than inferred from the abstract.</x:v>
      </x:c>
      <x:c r="D65" s="60" t="str">
        <x:v>Role/authority-stratified collaboration; no single topology should be coded without checking the experiment table.</x:v>
      </x:c>
      <x:c r="E65" s="60" t="str">
        <x:v>Messages are screened using sender/receiver authority and information sensitivity.</x:v>
      </x:c>
      <x:c r="F65" s="60" t="str">
        <x:v>Unprotected systems, component ablations, and prior prompt or memory defenses as specified in the paper.</x:v>
      </x:c>
      <x:c r="G65" s="60" t="str">
        <x:v>Defense success rate under adversarial scenarios, task utility, and scalability measures.</x:v>
      </x:c>
      <x:c r="H65" s="60" t="str">
        <x:v>Attack-scenario/trial level; the abstract’s “above 80%” is an aggregate defense success statement, not a universal guarantee.</x:v>
      </x:c>
      <x:c r="I65" s="60" t="str">
        <x:v>Yes for synthetic unauthorized-access and poisoning scenarios; no production deployment impact is established.</x:v>
      </x:c>
      <x:c r="J65" s="60" t="str">
        <x:v>arXiv abstract for two-component design and &gt;80% headline; paper Sec. 3 framework and Sec. 4 experiments. Exact table/page locators require author signoff against v2 PDF.</x:v>
      </x:c>
      <x:c r="K65" s="60" t="str">
        <x:v>The authors explicitly claim hierarchical data and memory defense. Stable identity, correct labels, and trusted policy enforcement as the security contract are corpus interpretations from the design.</x:v>
      </x:c>
      <x:c r="L65" s="60" t="str">
        <x:v>Preprint only. Relies on predefined security labels, stable identities, trusted enforcement, and evaluated task/model settings; dynamic membership and adaptive Sybils are not established.</x:v>
      </x:c>
      <x:c r="M65" s="60" t="str">
        <x:v>Keep as defense-primary; record v2/preprint status; do not call it the first systematic memory defense without qualification; make policy-label and identity assumptions explicit; do not generalize the &gt;80% figure.</x:v>
      </x:c>
      <x:c r="N65" s="60" t="str">
        <x:v>ready_after_minor_patch</x:v>
      </x:c>
      <x:c r="O65" s="60" t="str">
        <x:v>assistant_source_reviewed_pending_author_signoff</x:v>
      </x:c>
    </x:row>
    <x:row r="66">
      <x:c r="A66" s="60" t="n">
        <x:v>65</x:v>
      </x:c>
      <x:c r="B66" s="60" t="str">
        <x:v>ebrahimi2025credibility</x:v>
      </x:c>
      <x:c r="C66" s="60" t="str">
        <x:v>Varies by experimental population ratio; exact n and adversarial counts should be extracted per experiment.</x:v>
      </x:c>
      <x:c r="D66" s="60" t="str">
        <x:v>Iterative communication and centralized credibility-weighted aggregation.</x:v>
      </x:c>
      <x:c r="E66" s="60" t="str">
        <x:v>Agents communicate answers/contributions over repeated queries; historical state links identity to past quality.</x:v>
      </x:c>
      <x:c r="F66" s="60" t="str">
        <x:v>Standard/unweighted aggregation and credibility-scoring variants.</x:v>
      </x:c>
      <x:c r="G66" s="60" t="str">
        <x:v>Final task accuracy/robustness by adversarial population ratio; credibility values and related ablations.</x:v>
      </x:c>
      <x:c r="H66" s="60" t="str">
        <x:v>Question/task-instance level aggregated over experimental sets. “Adversary-majority” is an empirical task-accuracy condition, not Byzantine agreement.</x:v>
      </x:c>
      <x:c r="I66" s="60" t="str">
        <x:v>Yes for benchmark collective-answer integrity; no protocol-level agreement/termination guarantee.</x:v>
      </x:c>
      <x:c r="J66" s="60" t="str">
        <x:v>ACL Anthology metadata and abstract; published PDF Secs. 2–4 for scoring, Sec. 5/results tables for adversarial ratios. Exact table locators require author signoff.</x:v>
      </x:c>
      <x:c r="K66" s="60" t="str">
        <x:v>Authors explicitly report resilience even in adversary-majority settings. The statement that this is not classical Byzantine agreement is the corpus interpretation required to prevent assumption drift.</x:v>
      </x:c>
      <x:c r="L66" s="60" t="str">
        <x:v>Peer-reviewed. Requires stable identities, repeated-task histories, and a trusted quality signal; identity churn, Sybils, colluding reputation manipulation, and asynchronous agreement are not established.</x:v>
      </x:c>
      <x:c r="M66" s="60" t="str">
        <x:v>Make defense the primary category; encode stable identity and trusted scoring as assumptions; do not compare the adversary-majority task result to f/n Byzantine thresholds or call it a consensus guarantee.</x:v>
      </x:c>
      <x:c r="N66" s="60" t="str">
        <x:v>ready_after_minor_patch</x:v>
      </x:c>
      <x:c r="O66" s="60" t="str">
        <x:v>assistant_source_reviewed_pending_author_signoff</x:v>
      </x:c>
    </x:row>
    <x:row r="67">
      <x:c r="A67" s="60" t="n">
        <x:v>66</x:v>
      </x:c>
      <x:c r="B67" s="60" t="str">
        <x:v>tailor2025auditwhisper</x:v>
      </x:c>
      <x:c r="C67" s="60" t="str">
        <x:v>Pairs and groups vary by benchmark scenario; record per benchmark rather than one universal n.</x:v>
      </x:c>
      <x:c r="D67" s="60" t="str">
        <x:v>Communication scenarios in pricing, auctions, peer review, and imported external suites.</x:v>
      </x:c>
      <x:c r="E67" s="60" t="str">
        <x:v>Configurable covert schemes over textual channels; paired interventions modify channel capacity.</x:v>
      </x:c>
      <x:c r="F67" s="60" t="str">
        <x:v>Heuristic transcript/outcome detectors and external suites including Secret Collusion/CASE/Perfect Collusion Benchmark/SentinelAgent as stated by the authors.</x:v>
      </x:c>
      <x:c r="G67" s="60" t="str">
        <x:v>Detection power at a fixed 10^-3 false-positive budget, mutual-information/KL diagnostics, permutation invariance, watermark variance, fairness-aware acceptance bias, and e-value calibration.</x:v>
      </x:c>
      <x:c r="H67" s="60" t="str">
        <x:v>Run- or paired-run level over benchmark scenarios, including 10,000 honest runs for calibration according to the abstract.</x:v>
      </x:c>
      <x:c r="I67" s="60" t="str">
        <x:v>Yes for benchmark detection and auditing outcomes; no deployment-wide guarantee against arbitrary covert channels.</x:v>
      </x:c>
      <x:c r="J67" s="60" t="str">
        <x:v>arXiv abstract for contributions, 10^-3 FPR, 10k honest runs, and external-suite evaluation; paper Secs. 5–6 and results/limitations for benchmark and detectors. Exact pages/tables require author signoff.</x:v>
      </x:c>
      <x:c r="K67" s="60" t="str">
        <x:v>Authors explicitly present capacity analysis and calibrated detectors. Coding trusted interventions, subgroup labels, and observer access as assumptions is the corpus interpretation of its defense contract.</x:v>
      </x:c>
      <x:c r="L67" s="60" t="str">
        <x:v>Preprint only. Detection is task/channel dependent and relies on paired interventions, transcript/outcome visibility, calibration data, and in some analyses subgroup annotations.</x:v>
      </x:c>
      <x:c r="M67" s="60" t="str">
        <x:v>Keep as defense/benchmark primary, not attack; record preprint status; code attack instances as secondary evidence; do not claim covert collusion is generally detectable or that finite-sample guarantees cover arbitrary channels.</x:v>
      </x:c>
      <x:c r="N67" s="60" t="str">
        <x:v>ready_after_minor_patch</x:v>
      </x:c>
      <x:c r="O67" s="60" t="str">
        <x:v>assistant_source_reviewed_pending_author_signoff</x:v>
      </x:c>
    </x:row>
    <x:row r="68">
      <x:c r="A68" s="60" t="n">
        <x:v>67</x:v>
      </x:c>
      <x:c r="B68" s="60" t="str">
        <x:v>zou2025blocka2a</x:v>
      </x:c>
      <x:c r="C68" s="60" t="str">
        <x:v>Prototype cross-domain participants; exact n varies by experiment and is not a central population metric.</x:v>
      </x:c>
      <x:c r="D68" s="60" t="str">
        <x:v>A2A interactions mediated by decentralized identity and blockchain-anchored records.</x:v>
      </x:c>
      <x:c r="E68" s="60" t="str">
        <x:v>Signed protocol messages and task events recorded/verified through the proposed trust stack.</x:v>
      </x:c>
      <x:c r="F68" s="60" t="str">
        <x:v>Legacy/non-ledger A2A security mechanisms and undefended attack scenarios as specified by the paper.</x:v>
      </x:c>
      <x:c r="G68" s="60" t="str">
        <x:v>Attack-handling outcomes plus latency, throughput, and storage overhead.</x:v>
      </x:c>
      <x:c r="H68" s="60" t="str">
        <x:v>Per attack scenario/protocol operation and system performance trial; not a Byzantine consensus threshold experiment.</x:v>
      </x:c>
      <x:c r="I68" s="60" t="str">
        <x:v>Only prototype/protocol evaluation under its trusted infrastructure; no broad production guarantee.</x:v>
      </x:c>
      <x:c r="J68" s="60" t="str">
        <x:v>arXiv abstract for architecture, DOE, attack classes, and sub-second overhead; paper Secs. 3–6 for components and prototype tables. Exact locator validation remains for author signoff.</x:v>
      </x:c>
      <x:c r="K68" s="60" t="str">
        <x:v>Authors explicitly claim secure/verifiable interoperability and use “Byzantine” broadly. Treating cryptography, ledger consensus, oracles, and endpoint adoption as the trusted computing base, and refusing to read the work as a classical BFT proof, are corpus interpretations.</x:v>
      </x:c>
      <x:c r="L68" s="60" t="str">
        <x:v>Preprint, broad integrated architecture, substantial trusted infrastructure, latency/privacy/governance/oracle assumptions, and evaluation within the authors’ prototype.</x:v>
      </x:c>
      <x:c r="M68" s="60" t="str">
        <x:v>Keep defense/system primary; record v3 and preprint status; do not treat “guarantees” or Byzantine flagging as a classical consensus theorem; explicitly list ledger/oracle/endpoint adoption assumptions and avoid “first” claims without independent verification.</x:v>
      </x:c>
      <x:c r="N68" s="60" t="str">
        <x:v>ready_after_major_patch</x:v>
      </x:c>
      <x:c r="O68" s="60" t="str">
        <x:v>assistant_source_reviewed_pending_author_signoff</x:v>
      </x:c>
    </x:row>
    <x:row r="69">
      <x:c r="A69" s="60" t="n">
        <x:v>68</x:v>
      </x:c>
      <x:c r="B69" s="60" t="str">
        <x:v>jo2025byzantinerobust</x:v>
      </x:c>
      <x:c r="C69" s="60" t="str">
        <x:v>Varied participant counts and Byzantine fractions in simulations/tasks; preserve per-experiment n and f.</x:v>
      </x:c>
      <x:c r="D69" s="60" t="str">
        <x:v>Leaderless decentralized coordination with workers and evaluators; authenticated synchronous links.</x:v>
      </x:c>
      <x:c r="E69" s="60" t="str">
        <x:v>Concurrent proposals followed by independent evaluator scoring and aggregation.</x:v>
      </x:c>
      <x:c r="F69" s="60" t="str">
        <x:v>Leader-based coordination and conventional voting/aggregation baselines.</x:v>
      </x:c>
      <x:c r="G69" s="60" t="str">
        <x:v>Selected-answer task quality/accuracy, latency, number of rounds, and robustness as f/n varies.</x:v>
      </x:c>
      <x:c r="H69" s="60" t="str">
        <x:v>Task-instance and protocol-run level. Any f&lt;n/2 statement is conditional on synchrony/authentication and the paper’s correctness definition.</x:v>
      </x:c>
      <x:c r="I69" s="60" t="str">
        <x:v>Yes for simulated/benchmark coordination performance; classical agreement, validity, and termination under asynchronous conditions are not established.</x:v>
      </x:c>
      <x:c r="J69" s="60" t="str">
        <x:v>arXiv abstract for DecentLLMs and empirical claim; full paper threat model/theorems in pp. 3–7 and experiment tables. All formal statements require expert signoff against exact theorem text.</x:v>
      </x:c>
      <x:c r="K69" s="60" t="str">
        <x:v>Authors explicitly motivate leaderless Byzantine robustness. Mapping any claimed threshold to relaxed synchrony/authentication and distinguishing answer quality from strict Byzantine agreement are corpus interpretations.</x:v>
      </x:c>
      <x:c r="L69" s="60" t="str">
        <x:v>Preprint only. Formal claim depends on synchronous authenticated network, bounded population, and paper-specific selection correctness; evaluation is task/simulation specific.</x:v>
      </x:c>
      <x:c r="M69" s="60" t="str">
        <x:v>Keep defense-primary; never cite f&lt;n/2 without synchrony, authentication, and correctness definition; do not compare directly with classical asynchronous f&lt;n/3 or call task accuracy an agreement guarantee; require distributed-systems signoff.</x:v>
      </x:c>
      <x:c r="N69" s="60" t="str">
        <x:v>ready_after_major_patch</x:v>
      </x:c>
      <x:c r="O69" s="60" t="str">
        <x:v>assistant_source_reviewed_pending_author_signoff</x:v>
      </x:c>
    </x:row>
    <x:row r="70">
      <x:c r="A70" s="60" t="n">
        <x:v>69</x:v>
      </x:c>
      <x:c r="B70" s="60" t="str">
        <x:v>wu2025cowpox</x:v>
      </x:c>
      <x:c r="C70" s="60" t="str">
        <x:v>Networked populations varied by experiments; preserve each seed and population size from tables.</x:v>
      </x:c>
      <x:c r="D70" s="60" t="str">
        <x:v>Population/network propagation settings analyzed empirically and theoretically.</x:v>
      </x:c>
      <x:c r="E70" s="60" t="str">
        <x:v>Malicious and defensive samples spread through the same inter-agent/state channels.</x:v>
      </x:c>
      <x:c r="F70" s="60" t="str">
        <x:v>No defense and non-propagating/local safety interventions.</x:v>
      </x:c>
      <x:c r="G70" s="60" t="str">
        <x:v>Infection, immunization/recovery, expected spread, robustness bounds, and benign utility.</x:v>
      </x:c>
      <x:c r="H70" s="60" t="str">
        <x:v>Agent/population and propagation-run level; distinguish expected number of infections, infected fraction, recovery rate, and utility.</x:v>
      </x:c>
      <x:c r="I70" s="60" t="str">
        <x:v>Yes for evaluated population compromise and recovery; real open-network deployment is not tested.</x:v>
      </x:c>
      <x:c r="J70" s="60" t="str">
        <x:v>PMLR abstract for defense concept and theoretical guarantee; published PDF Secs. 3–4 and theorem/result tables for exact conditions. Author signoff required for every bound and denominator.</x:v>
      </x:c>
      <x:c r="K70" s="60" t="str">
        <x:v>Authors explicitly call Cowpox a distributed defense with theoretical guarantees. Coding it as one of the corpus’s few recovery-oriented defenses is the corpus interpretation.</x:v>
      </x:c>
      <x:c r="L70" s="60" t="str">
        <x:v>Peer-reviewed. Specialized VLM infection model, controlled distribution of cure samples, model/task/topology assumptions, and uncertain deployability in open networks.</x:v>
      </x:c>
      <x:c r="M70" s="60" t="str">
        <x:v>Keep defense-primary and explicitly code prevention plus recovery; separate infection and recovery denominators; quote theoretical guarantees only with full model assumptions; do not generalize to arbitrary LLM-MAS or open populations.</x:v>
      </x:c>
      <x:c r="N70" s="60" t="str">
        <x:v>ready_after_minor_patch</x:v>
      </x:c>
      <x:c r="O70" s="60" t="str">
        <x:v>assistant_source_reviewed_pending_author_signoff</x:v>
      </x:c>
    </x:row>
    <x:row r="71">
      <x:c r="A71" s="60" t="n">
        <x:v>70</x:v>
      </x:c>
      <x:c r="B71" s="60" t="str">
        <x:v>li2025argus</x:v>
      </x:c>
      <x:c r="C71" s="60" t="str">
        <x:v>Workflow-specific; exact agent counts must be extracted from MisinfoTask/system configurations.</x:v>
      </x:c>
      <x:c r="D71" s="60" t="str">
        <x:v>Task decomposition/message-passing workflows, not one universal graph.</x:v>
      </x:c>
      <x:c r="E71" s="60" t="str">
        <x:v>Messages carrying factual claims are reviewed and rewritten relative to the system goal.</x:v>
      </x:c>
      <x:c r="F71" s="60" t="str">
        <x:v>Prompt defenses and misinformation-detection/rectification variants.</x:v>
      </x:c>
      <x:c r="G71" s="60" t="str">
        <x:v>Misinformation toxicity, task success under attack, identification/rectification effectiveness, and utility.</x:v>
      </x:c>
      <x:c r="H71" s="60" t="str">
        <x:v>Task/scenario and message-claim level depending on metric; abstract reports average 28.17% toxicity reduction and 10.33% task-success improvement across evaluated attacks.</x:v>
      </x:c>
      <x:c r="I71" s="60" t="str">
        <x:v>Yes for benchmark task/factual integrity; no deployed-world action or formal correctness guarantee.</x:v>
      </x:c>
      <x:c r="J71" s="60" t="str">
        <x:v>arXiv abstract for MisinfoTask/ARGUS and 28.17%/10.33% averages; paper Secs. 3–5 and result tables for exact metrics. Exact page/table validation remains for author signoff.</x:v>
      </x:c>
      <x:c r="K71" s="60" t="str">
        <x:v>Authors explicitly report goal-aware identification and rectification. Treating global task goal and trusted reviewer knowledge as observer/trust assumptions is the corpus interpretation.</x:v>
      </x:c>
      <x:c r="L71" s="60" t="str">
        <x:v>Preprint. LLM adjudication may share the same knowledge failures, benchmark misinformation is controlled, architecture/agent count are limited, and aggregate improvements are setting dependent.</x:v>
      </x:c>
      <x:c r="M71" s="60" t="str">
        <x:v>Keep defense/benchmark primary; downgrade scope to security_relevant unless specific claims involve adversarial integrity; use abstract’s toxicity/task-success metrics rather than generic ASR; make global-goal and trusted-reviewer assumptions explicit.</x:v>
      </x:c>
      <x:c r="N71" s="60" t="str">
        <x:v>ready_after_minor_patch</x:v>
      </x:c>
      <x:c r="O71" s="60" t="str">
        <x:v>assistant_source_reviewed_pending_author_signoff</x:v>
      </x:c>
    </x:row>
    <x:row r="72">
      <x:c r="A72" s="60" t="n">
        <x:v>71</x:v>
      </x:c>
      <x:c r="B72" s="60" t="str">
        <x:v>zhou2025guardian</x:v>
      </x:c>
      <x:c r="C72" s="60" t="str">
        <x:v>Main experiments use four agents; scalability tests use three to seven according to the paper note.</x:v>
      </x:c>
      <x:c r="D72" s="60" t="str">
        <x:v>Temporal attributed collaboration graphs across evaluated structures.</x:v>
      </x:c>
      <x:c r="E72" s="60" t="str">
        <x:v>Ordered multi-turn agent messages are encoded as node/edge attributes.</x:v>
      </x:c>
      <x:c r="F72" s="60" t="str">
        <x:v>No defense, graph-anomaly baselines, and prior MAS safeguards including G-Safeguard as specified by the paper.</x:v>
      </x:c>
      <x:c r="G72" s="60" t="str">
        <x:v>Task accuracy, anomaly/detection measures, false discovery rate, and runtime/resource efficiency.</x:v>
      </x:c>
      <x:c r="H72" s="60" t="str">
        <x:v>Task instance, agent/edge anomaly event, and runtime trial; detection and task recovery must be reported separately.</x:v>
      </x:c>
      <x:c r="I72" s="60" t="str">
        <x:v>Yes for small controlled collaboration graphs; no internet-scale or open-membership validation.</x:v>
      </x:c>
      <x:c r="J72" s="60" t="str">
        <x:v>NeurIPS proceedings abstract for temporal graph method and main claim; published PDF Secs. 3–5 for method, setup, and results. Exact table/page locators remain for author signoff.</x:v>
      </x:c>
      <x:c r="K72" s="60" t="str">
        <x:v>Authors explicitly describe detection and mitigation. Coding edge pruning as containment and global temporal graph visibility/topology authority as the defense contract is the corpus interpretation.</x:v>
      </x:c>
      <x:c r="L72" s="60" t="str">
        <x:v>Peer-reviewed. Small populations, controlled attacks, known identities/topology, complete timestamped communication visibility, and central edge-pruning authority.</x:v>
      </x:c>
      <x:c r="M72" s="60" t="str">
        <x:v>Keep defense-primary; distinguish anomaly detection from task recovery; make full temporal-graph visibility and edge-control assumptions explicit; do not generalize 3–7 agent results to open ecosystems.</x:v>
      </x:c>
      <x:c r="N72" s="60" t="str">
        <x:v>ready_after_minor_patch</x:v>
      </x:c>
      <x:c r="O72" s="60" t="str">
        <x:v>assistant_source_reviewed_pending_author_signoff</x:v>
      </x:c>
    </x:row>
    <x:row r="73">
      <x:c r="A73" s="60" t="n">
        <x:v>72</x:v>
      </x:c>
      <x:c r="B73" s="60" t="str">
        <x:v>mao2025ibgp</x:v>
      </x:c>
      <x:c r="C73" s="60" t="str">
        <x:v>Environment tuples explicitly vary n, attacker count, k, and related parameters; preserve each tuple from Table 1.</x:v>
      </x:c>
      <x:c r="D73" s="60" t="str">
        <x:v>Broadcast-style multi-round protocol plus task-specific local coordination environments.</x:v>
      </x:c>
      <x:c r="E73" s="60" t="str">
        <x:v>Agents broadcast proposals each round; hidden random stopping is used in the protocol.</x:v>
      </x:c>
      <x:c r="F73" s="60" t="str">
        <x:v>Recursive training, AME, ADMAC, and other listed algorithms in Table 1.</x:v>
      </x:c>
      <x:c r="G73" s="60" t="str">
        <x:v>Robustness percentage defined by avoiding IBGP mis-coordination in each environment.</x:v>
      </x:c>
      <x:c r="H73" s="60" t="str">
        <x:v>Episode/environment-run level under parameter tuple (n, t, k, ...); not a standard ASR and not a global Byzantine agreement rate.</x:v>
      </x:c>
      <x:c r="I73" s="60" t="str">
        <x:v>Yes under the redefined local/partial coordination predicate; no classical global BFT result.</x:v>
      </x:c>
      <x:c r="J73" s="60" t="str">
        <x:v>Official PDF p. 1 authors/metadata and problem framing; pp. 1–2 Definitions 2.1–2.2; p. 2 Table 1 and protocol description.</x:v>
      </x:c>
      <x:c r="K73" s="60" t="str">
        <x:v>Authors explicitly redefine Agreement and Consistency for IBGP. Saying apparent higher malicious tolerance comes from changing the protected property, not beating classical BGP, is the corpus interpretation.</x:v>
      </x:c>
      <x:c r="L73" s="60" t="str">
        <x:v>Peer-reviewed extended abstract with only three pages. Correctness predicate is intentionally relaxed; formal details, threat assumptions, and evaluation scope are limited.</x:v>
      </x:c>
      <x:c r="M73" s="60" t="str">
        <x:v>Replace the incorrect seven-author list with the six official authors; label as AAMAS extended abstract; downgrade from any “super-ceiling BFT” framing; report k-of-n partial coordination and global-randomizer assumptions; never compare directly to f&lt;n/3.</x:v>
      </x:c>
      <x:c r="N73" s="60" t="str">
        <x:v>ready_after_major_patch</x:v>
      </x:c>
      <x:c r="O73" s="60" t="str">
        <x:v>assistant_source_reviewed_pending_author_signoff</x:v>
      </x:c>
    </x:row>
    <x:row r="74">
      <x:c r="A74" s="60" t="n">
        <x:v>73</x:v>
      </x:c>
      <x:c r="B74" s="60" t="str">
        <x:v>cui2025maris</x:v>
      </x:c>
      <x:c r="C74" s="60" t="str">
        <x:v>Prototype workflow-specific; agent count is secondary to principal/flow graph and should be extracted per task suite.</x:v>
      </x:c>
      <x:c r="D74" s="60" t="str">
        <x:v>AutoGen/LangChain-style mediated workflows with all relevant communication/tool boundaries registered.</x:v>
      </x:c>
      <x:c r="E74" s="60" t="str">
        <x:v>Every modeled message/tool flow passes through Maris reference monitors.</x:v>
      </x:c>
      <x:c r="F74" s="60" t="str">
        <x:v>Unprotected frameworks and prompt-only privacy controls as reported.</x:v>
      </x:c>
      <x:c r="G74" s="60" t="str">
        <x:v>Policy-violation prevention, task success/utility, and performance overhead.</x:v>
      </x:c>
      <x:c r="H74" s="60" t="str">
        <x:v>Privacy scenario/task and mediated flow-event level; formal guarantees apply to modeled paths, not semantic leakage outside them.</x:v>
      </x:c>
      <x:c r="I74" s="60" t="str">
        <x:v>Yes for modeled/prototype leakage scenarios; covert channels and unmediated side effects remain outside the guarantee.</x:v>
      </x:c>
      <x:c r="J74" s="60" t="str">
        <x:v>arXiv abstract for architecture, AutoGen/LangChain integration, and three task suites; PDF Secs. 3–4 and evaluation tables for policy model and overhead. Exact locators require author signoff.</x:v>
      </x:c>
      <x:c r="K74" s="60" t="str">
        <x:v>Authors explicitly describe formal verification and message flow control. Complete mediation, correct labels/policies, and exclusion of covert channels are the corpus interpretation of guarantee scope.</x:v>
      </x:c>
      <x:c r="L74" s="60" t="str">
        <x:v>Preprint v5. Guarantees rely on correct policy, labels, identities, and complete mediation; semantic covert channels, unregistered side effects, and policy-authoring errors are not eliminated.</x:v>
      </x:c>
      <x:c r="M74" s="60" t="str">
        <x:v>Keep defense/formal-system primary; record v5; qualify “formally verifiable” to modeled flows; make complete mediation and policy correctness explicit; do not imply universal semantic noninterference.</x:v>
      </x:c>
      <x:c r="N74" s="60" t="str">
        <x:v>ready_after_minor_patch</x:v>
      </x:c>
      <x:c r="O74" s="60" t="str">
        <x:v>assistant_source_reviewed_pending_author_signoff</x:v>
      </x:c>
    </x:row>
    <x:row r="75">
      <x:c r="A75" s="60" t="n">
        <x:v>74</x:v>
      </x:c>
      <x:c r="B75" s="60" t="str">
        <x:v>he2025atrust</x:v>
      </x:c>
      <x:c r="C75" s="60" t="str">
        <x:v>Varies across experiments; exact team sizes should be extracted per table.</x:v>
      </x:c>
      <x:c r="D75" s="60" t="str">
        <x:v>Collaborative question-answering/message-passing configurations.</x:v>
      </x:c>
      <x:c r="E75" s="60" t="str">
        <x:v>Agents receive heterogeneous peer messages; TMS assesses trust at message and agent level.</x:v>
      </x:c>
      <x:c r="F75" s="60" t="str">
        <x:v>Unweighted communication and alternative trust/filtering methods.</x:v>
      </x:c>
      <x:c r="G75" s="60" t="str">
        <x:v>Trust classification/dimension scores, task accuracy, and robustness to injected message categories.</x:v>
      </x:c>
      <x:c r="H75" s="60" t="str">
        <x:v>Message and task-instance level; threshold sensitivity/false alarms must be reported separately from task accuracy.</x:v>
      </x:c>
      <x:c r="I75" s="60" t="str">
        <x:v>Yes for benchmark collective-answer outcomes; not all six categories are adversarial security failures.</x:v>
      </x:c>
      <x:c r="J75" s="60" t="str">
        <x:v>arXiv abstract for six dimensions, A-Trust/TMS, and acceptance comment; full paper Secs. 2–3 and result/limitation sections. Exact tables/pages require author signoff.</x:v>
      </x:c>
      <x:c r="K75" s="60" t="str">
        <x:v>Authors explicitly define six trust dimensions. Separating malicious security cases from low-quality/reliability cases, and treating attention access/threshold stability as assumptions, are corpus interpretations.</x:v>
      </x:c>
      <x:c r="L75" s="60" t="str">
        <x:v>Publication status unresolved beyond arXiv comment. Requires attention or derived internal signals, stable identity, threshold calibration, and tested harmfulness categories; unseen/adaptive attacks remain uncertain.</x:v>
      </x:c>
      <x:c r="M75" s="60" t="str">
        <x:v>Do not list ACL 2026 as formally published until an Anthology record is found; keep defense-primary; split malicious/deceptive attacks from benign low-quality messages; record attention/internal-signal and threshold assumptions.</x:v>
      </x:c>
      <x:c r="N75" s="60" t="str">
        <x:v>ready_after_major_patch</x:v>
      </x:c>
      <x:c r="O75" s="60" t="str">
        <x:v>assistant_source_reviewed_pending_author_signoff</x:v>
      </x:c>
    </x:row>
    <x:row r="76">
      <x:c r="A76" s="60" t="n">
        <x:v>75</x:v>
      </x:c>
      <x:c r="B76" s="60" t="str">
        <x:v>rabieinejad2026alteda</x:v>
      </x:c>
      <x:c r="C76" s="60" t="str">
        <x:v>One instrumented multi-agent target workflow; exact agent count/configuration must be copied from the full experimental setup.</x:v>
      </x:c>
      <x:c r="D76" s="60" t="str">
        <x:v>Workflow-specific delegation/tool execution represented as a directed event multigraph.</x:v>
      </x:c>
      <x:c r="E76" s="60" t="str">
        <x:v>No prompt/response content is consumed; synchronized metadata/log events correlate cross-agent actions.</x:v>
      </x:c>
      <x:c r="F76" s="60" t="str">
        <x:v>Single-layer, non-adaptive, and text-based detectors as reported by the paper.</x:v>
      </x:c>
      <x:c r="G76" s="60" t="str">
        <x:v>End-to-end detection performance, false alarms, early-detection performance versus trace progress, attribution quality, and computational overhead.</x:v>
      </x:c>
      <x:c r="H76" s="60" t="str">
        <x:v>Execution-trace level. The 31.4% figure is the attack success rate in the generated red-team runs, not the fraction of attack traces.</x:v>
      </x:c>
      <x:c r="I76" s="60" t="str">
        <x:v>Yes for detection/attribution on generated traces; external validity to missing/encrypted/adversarial telemetry is not established.</x:v>
      </x:c>
      <x:c r="J76" s="60" t="str">
        <x:v>ScienceDirect abstract for 800 traces, 31.4% ASR, ~40% early alerts, content-free telemetry, and SHAP attribution; full article architecture/evaluation sections for exact tables. Author signoff required.</x:v>
      </x:c>
      <x:c r="K76" s="60" t="str">
        <x:v>Authors explicitly present content-free multi-layer log detection and attribution. Classifying it as a privileged global observer and listing clock/log integrity as assumptions are corpus interpretations.</x:v>
      </x:c>
      <x:c r="L76" s="60" t="str">
        <x:v>Peer-reviewed journal evidence, but based on a red-teamed generated trace set and fully instrumented logging. Missing, encrypted, forged, or desynchronized telemetry may weaken detection.</x:v>
      </x:c>
      <x:c r="M76" s="60" t="str">
        <x:v>Replace ALTEDA as paper title with the published title; preserve ALTEDA as method name; correct the 31.4% interpretation to attack success rate; make global synchronized telemetry and log integrity assumptions explicit.</x:v>
      </x:c>
      <x:c r="N76" s="60" t="str">
        <x:v>ready_after_major_patch</x:v>
      </x:c>
      <x:c r="O76" s="60" t="str">
        <x:v>assistant_source_reviewed_pending_author_signoff</x:v>
      </x:c>
    </x:row>
    <x:row r="77">
      <x:c r="A77" s="60" t="n">
        <x:v>76</x:v>
      </x:c>
      <x:c r="B77" s="60" t="str">
        <x:v>miao2026blindguard</x:v>
      </x:c>
      <x:c r="C77" s="60" t="str">
        <x:v>Three compromised agents in the main setup; total population and any scale variants must be copied per experimental table.</x:v>
      </x:c>
      <x:c r="D77" s="60" t="str">
        <x:v>Chain, tree, star, and random graphs with three communication rounds.</x:v>
      </x:c>
      <x:c r="E77" s="60" t="str">
        <x:v>Three rounds of messages; detector consumes agent, neighborhood, and global interaction representations.</x:v>
      </x:c>
      <x:c r="F77" s="60" t="str">
        <x:v>No defense, G-Safeguard, DOMINANT, PREM, and TAM.</x:v>
      </x:c>
      <x:c r="G77" s="60" t="str">
        <x:v>ASR@3 after three rounds, malicious-agent detection AUC, and task accuracy/utility.</x:v>
      </x:c>
      <x:c r="H77" s="60" t="str">
        <x:v>Task-instance level for ASR@3 and agent-label level for AUC; do not collapse detection and system recovery.</x:v>
      </x:c>
      <x:c r="I77" s="60" t="str">
        <x:v>Yes for tested tasks/topologies; unknown-attack generalization is empirical, not universal.</x:v>
      </x:c>
      <x:c r="J77" s="60" t="str">
        <x:v>ACL metadata/abstract; published PDF Sec. 3 and Fig. 2 for method; Sec. 4.1/Table 1 for attack families/topologies/backbones/metrics.</x:v>
      </x:c>
      <x:c r="K77" s="60" t="str">
        <x:v>Authors explicitly claim unsupervised detection without attack labels. Coding edge pruning as containment, not pre-infiltration prevention, and global graph control as an assumption are corpus interpretations.</x:v>
      </x:c>
      <x:c r="L77" s="60" t="str">
        <x:v>Peer-reviewed. Simulated attacks, fixed topologies, normal-trace training, known identities, centralized graph visibility, post-infiltration action, and adaptive-evasion uncertainty.</x:v>
      </x:c>
      <x:c r="M77" s="60" t="str">
        <x:v>Keep defense-primary; preserve ASR@3 and AUC denominators separately; label pruning as containment; do not call unknown-attack performance a guarantee; record global graph visibility and isolation authority.</x:v>
      </x:c>
      <x:c r="N77" s="60" t="str">
        <x:v>ready_after_minor_patch</x:v>
      </x:c>
      <x:c r="O77" s="60" t="str">
        <x:v>assistant_source_reviewed_pending_author_signoff</x:v>
      </x:c>
    </x:row>
    <x:row r="78">
      <x:c r="A78" s="60" t="n">
        <x:v>77</x:v>
      </x:c>
      <x:c r="B78" s="60" t="str">
        <x:v>pan2026xgguard</x:v>
      </x:c>
      <x:c r="C78" s="60" t="str">
        <x:v>Multi-round agents across four topology families; exact n and number of malicious agents should be preserved per setup table.</x:v>
      </x:c>
      <x:c r="D78" s="60" t="str">
        <x:v>Chain, tree, star, and random/fixed synthetic graphs.</x:v>
      </x:c>
      <x:c r="E78" s="60" t="str">
        <x:v>Multi-round textual responses with graph structure known to the monitor.</x:v>
      </x:c>
      <x:c r="F78" s="60" t="str">
        <x:v>DOMINANT, PREM, TAM, BlindGuard, G-Safeguard.</x:v>
      </x:c>
      <x:c r="G78" s="60" t="str">
        <x:v>AUROC, attack success rate, answer accuracy, and explanation/localization measures.</x:v>
      </x:c>
      <x:c r="H78" s="60" t="str">
        <x:v>Agent/response-level anomaly labels for AUROC and task-instance level for ASR/accuracy.</x:v>
      </x:c>
      <x:c r="I78" s="60" t="str">
        <x:v>Yes for benchmark decision integrity and graph isolation; no adaptive/open-membership guarantee.</x:v>
      </x:c>
      <x:c r="J78" s="60" t="str">
        <x:v>ACL metadata/abstract; PDF Sec. 3 and Fig. 2 for architecture; Sec. 4.1/Table 1 for setup/topologies/attack surfaces.</x:v>
      </x:c>
      <x:c r="K78" s="60" t="str">
        <x:v>Authors explicitly claim fine-grained explainability and robust detection. Treating full response/graph visibility and node removal as privileged assumptions is the corpus interpretation.</x:v>
      </x:c>
      <x:c r="L78" s="60" t="str">
        <x:v>Peer-reviewed. Fixed synthetic topologies, known agents, three attack families, centralized control, normal-trace dependence, and no evidence against adaptive lexical/graph evasion.</x:v>
      </x:c>
      <x:c r="M78" s="60" t="str">
        <x:v>Keep defense-primary; separate response/agent detection from system ASR; make graph-wide visibility and node-removal authority explicit; call robustness empirical, not guaranteed.</x:v>
      </x:c>
      <x:c r="N78" s="60" t="str">
        <x:v>ready_after_minor_patch</x:v>
      </x:c>
      <x:c r="O78" s="60" t="str">
        <x:v>assistant_source_reviewed_pending_author_signoff</x:v>
      </x:c>
    </x:row>
    <x:row r="79">
      <x:c r="A79" s="60" t="n">
        <x:v>78</x:v>
      </x:c>
      <x:c r="B79" s="60" t="str">
        <x:v>tapwal2026prism</x:v>
      </x:c>
      <x:c r="C79" s="60" t="str">
        <x:v>Heterogeneous four-agent pipeline.</x:v>
      </x:c>
      <x:c r="D79" s="60" t="str">
        <x:v>Sequential multi-stage pipeline.</x:v>
      </x:c>
      <x:c r="E79" s="60" t="str">
        <x:v>Sensitive context is repeatedly exposed to downstream generators; defense observes generation-time signals.</x:v>
      </x:c>
      <x:c r="F79" s="60" t="str">
        <x:v>Regex/pattern methods, prompt safeguards, LLM-as-judge filtering, and Span Tagger.</x:v>
      </x:c>
      <x:c r="G79" s="60" t="str">
        <x:v>Detection precision/recall/F1, task-level leak rate, output utility, latency, and risk-warning timing.</x:v>
      </x:c>
      <x:c r="H79" s="60" t="str">
        <x:v>2,000 tasks across 13 attack categories and three pressure levels; task-level leak rate is not token-level detection rate.</x:v>
      </x:c>
      <x:c r="I79" s="60" t="str">
        <x:v>Yes for credential leakage in the bounded benchmark; no arbitrary contextual-privacy guarantee.</x:v>
      </x:c>
      <x:c r="J79" s="60" t="str">
        <x:v>arXiv abstract lines for four-agent pipeline, 2,000 tasks, 13 categories, three pressure levels, all headline metrics; full paper Secs. 3–5 for 16-signal model and baselines.</x:v>
      </x:c>
      <x:c r="K79" s="60" t="str">
        <x:v>Authors explicitly formalize propagation amplification and report zero observed benchmark leakage. Interpreting the guarantee as bounded to credential-like secrets and observable generation signals is the corpus qualification.</x:v>
      </x:c>
      <x:c r="L79" s="60" t="str">
        <x:v>Preprint. Credential-focused synthetic benchmark, black-box approximation error, structured/multi-step encoding difficulty, and dependence on token/logit access and intervention rights.</x:v>
      </x:c>
      <x:c r="M79" s="60" t="str">
        <x:v>Keep defense/benchmark primary; replace vague “2,000 examples” with 2,000 tasks, 13 categories, three pressure levels, and four agents; preserve task-level denominator; do not convert 0.0% observed leakage into a guarantee.</x:v>
      </x:c>
      <x:c r="N79" s="60" t="str">
        <x:v>ready_after_minor_patch</x:v>
      </x:c>
      <x:c r="O79" s="60" t="str">
        <x:v>assistant_source_reviewed_pending_author_signoff</x:v>
      </x:c>
    </x:row>
    <x:row r="80">
      <x:c r="A80" s="60" t="n">
        <x:v>79</x:v>
      </x:c>
      <x:c r="B80" s="60" t="str">
        <x:v>darabi2026bioautonomic</x:v>
      </x:c>
      <x:c r="C80" s="60" t="str">
        <x:v>not safely recoverable from current note/abstract; exact experimental population sizes require final PDF table signoff</x:v>
      </x:c>
      <x:c r="D80" s="60" t="str">
        <x:v>decentralized peer/gossip topology; exact evaluated graph configurations require table-level verification</x:v>
      </x:c>
      <x:c r="E80" s="60" t="str">
        <x:v>gossip-based trust evidence and distributed adaptation</x:v>
      </x:c>
      <x:c r="F80" s="60" t="str">
        <x:v>state-of-the-art multi-agent resilience baselines and component ablations, per paper; exact list requires final PDF signoff</x:v>
      </x:c>
      <x:c r="G80" s="60" t="str">
        <x:v>malicious-agent identification, control-flow hijack rate, recovery/resilience, and collaborative performance; metric formulas require final PDF verification</x:v>
      </x:c>
      <x:c r="H80" s="60" t="str">
        <x:v>agent/event/task-level denominators are not fully specified in the note; do not compare headline rates until tables are signed off</x:v>
      </x:c>
      <x:c r="I80" s="60" t="str">
        <x:v>yes, within simulated malicious-agent and control-flow scenarios; no real deployment validation</x:v>
      </x:c>
      <x:c r="J80" s="60" t="str">
        <x:v>Official AAAI abstract and metadata; repository note method pp.2-5 and evaluation pp.6-7, but exact table/figure locators require author signoff</x:v>
      </x:c>
      <x:c r="K80" s="60" t="str">
        <x:v>Authors claim integrated decentralized resilience and recovery. Coding it as security_relevant rather than uniformly core_security is corpus interpretation because the paper also covers nonadversarial faults and general resilience.</x:v>
      </x:c>
      <x:c r="L80" s="60" t="str">
        <x:v>Peer reviewed. Bio-inspired modules, simulated attacks, honest-evidence/gossip assumptions, and unclear coalition resistance limit transfer. Exact population and metric denominators still need PDF signoff.</x:v>
      </x:c>
      <x:c r="M80" s="60" t="str">
        <x:v>Use Amit Ranjan Trivedi in canonical author field. Keep defense primary. Downgrade scope from blanket core_security to security_relevant unless individual attack claims are separated. Do not present resilience recovery as a security guarantee.</x:v>
      </x:c>
      <x:c r="N80" s="60" t="str">
        <x:v>ready_after_major_patch</x:v>
      </x:c>
      <x:c r="O80" s="60" t="str">
        <x:v>assistant_source_reviewed_pending_author_signoff</x:v>
      </x:c>
    </x:row>
    <x:row r="81">
      <x:c r="A81" s="60" t="n">
        <x:v>80</x:v>
      </x:c>
      <x:c r="B81" s="60" t="str">
        <x:v>zhou2026resmas</x:v>
      </x:c>
      <x:c r="C81" s="60" t="str">
        <x:v>varied in experiments; exact counts must be copied from final tables rather than inferred from abstract</x:v>
      </x:c>
      <x:c r="D81" s="60" t="str">
        <x:v>generated and fixed comparison topologies under connectivity constraints</x:v>
      </x:c>
      <x:c r="E81" s="60" t="str">
        <x:v>topology-conditioned message exchange with per-agent prompts</x:v>
      </x:c>
      <x:c r="F81" s="60" t="str">
        <x:v>G-Designer, OPRO, TextGrad, GPTSwarm and fixed-topology/non-resilience-aware variants, per full text</x:v>
      </x:c>
      <x:c r="G81" s="60" t="str">
        <x:v>paper-specific resilience score under agent perturbations plus task accuracy; exact formula and perturbation denominator require table/equation signoff</x:v>
      </x:c>
      <x:c r="H81" s="60" t="str">
        <x:v>system/task run under specified perturbation; not an attack ASR</x:v>
      </x:c>
      <x:c r="I81" s="60" t="str">
        <x:v>yes for task-level resilience under modeled failures; not verified as malicious-attack resistance</x:v>
      </x:c>
      <x:c r="J81" s="60" t="str">
        <x:v>Official AAAI abstract lines 34-37 and metadata lines 18-48; repository note method pp.3-5 and experiments pp.5-8</x:v>
      </x:c>
      <x:c r="K81" s="60" t="str">
        <x:v>Authors frame ResMAS as proactive resilience. Classifying it as security_relevant rather than core attack defense is corpus interpretation.</x:v>
      </x:c>
      <x:c r="L81" s="60" t="str">
        <x:v>Peer reviewed. Results are tied to modeled perturbations, reward-model fidelity, tasks, and redesign rights. No guarantee against adaptive or unmodeled adversaries.</x:v>
      </x:c>
      <x:c r="M81" s="60" t="str">
        <x:v>Do not code this as attack. Label design-time defense/resilience. Do not call random-failure robustness a security guarantee. Preserve exact perturbation model and resilience definition.</x:v>
      </x:c>
      <x:c r="N81" s="60" t="str">
        <x:v>ready_after_minor_patch</x:v>
      </x:c>
      <x:c r="O81" s="60" t="str">
        <x:v>assistant_source_reviewed_pending_author_signoff</x:v>
      </x:c>
    </x:row>
    <x:row r="82">
      <x:c r="A82" s="60" t="n">
        <x:v>81</x:v>
      </x:c>
      <x:c r="B82" s="60" t="str">
        <x:v>shi2026saiguard</x:v>
      </x:c>
      <x:c r="C82" s="60" t="str">
        <x:v>scalability experiments reportedly reach 80 agents; verify exact configurations and whether all tasks use that scale</x:v>
      </x:c>
      <x:c r="D82" s="60" t="str">
        <x:v>multiple graph topologies; exact set and sizes require final PDF table signoff</x:v>
      </x:c>
      <x:c r="E82" s="60" t="str">
        <x:v>candidate messages evaluated before delivery using learned state simulation</x:v>
      </x:c>
      <x:c r="F82" s="60" t="str">
        <x:v>reactive graph safeguards and message detectors; exact names/tables require signoff</x:v>
      </x:c>
      <x:c r="G82" s="60" t="str">
        <x:v>accuracy, ASR, precision, recall, F1, and cost; definitions are paper-specific</x:v>
      </x:c>
      <x:c r="H82" s="60" t="str">
        <x:v>task/run and message-detection units; do not combine ASR with agent-fraction metrics</x:v>
      </x:c>
      <x:c r="I82" s="60" t="str">
        <x:v>yes in preprint experiments; no independent or archival validation</x:v>
      </x:c>
      <x:c r="J82" s="60" t="str">
        <x:v>Repository note sections 3-4 pp.3-7 and section 5 pp.8-11; arXiv full text must be signed off for exact tables</x:v>
      </x:c>
      <x:c r="K82" s="60" t="str">
        <x:v>Authors claim proactive prevention. Treating simulator fidelity as a trust assumption and separating interception from guarantee are corpus interpretations.</x:v>
      </x:c>
      <x:c r="L82" s="60" t="str">
        <x:v>Preprint. Learned benign dynamics, distribution shift, adaptive evasion, full graph/state visibility, and interception authority define applicability.</x:v>
      </x:c>
      <x:c r="M82" s="60" t="str">
        <x:v>Keep preprint label. Separate proactive interception from formal prevention guarantee. Record 80 agents only as scalability setting, not general evaluation size.</x:v>
      </x:c>
      <x:c r="N82" s="60" t="str">
        <x:v>ready_after_minor_patch</x:v>
      </x:c>
      <x:c r="O82" s="60" t="str">
        <x:v>assistant_source_reviewed_pending_author_signoff</x:v>
      </x:c>
    </x:row>
    <x:row r="83">
      <x:c r="A83" s="60" t="n">
        <x:v>82</x:v>
      </x:c>
      <x:c r="B83" s="60" t="str">
        <x:v>feng2026sentinelnet</x:v>
      </x:c>
      <x:c r="C83" s="60" t="str">
        <x:v>varied by experimental configuration; exact counts must be read from final tables</x:v>
      </x:c>
      <x:c r="D83" s="60" t="str">
        <x:v>decentralized debate graph with dynamic local neighbor elimination; exact families require final PDF signoff</x:v>
      </x:c>
      <x:c r="E83" s="60" t="str">
        <x:v>multi-round debate messages observed locally by recipients</x:v>
      </x:c>
      <x:c r="F83" s="60" t="str">
        <x:v>existing centralized/static defenses including G-Safeguard and AgentSafe, per paper; exact comparison set requires final table signoff</x:v>
      </x:c>
      <x:c r="G83" s="60" t="str">
        <x:v>malicious-agent detection rate, task accuracy recovery, and rounds to detection</x:v>
      </x:c>
      <x:c r="H83" s="60" t="str">
        <x:v>agent detection events and system task instances; near-100% detection is a highlighted setting, not universal</x:v>
      </x:c>
      <x:c r="I83" s="60" t="str">
        <x:v>yes within benchmark debate settings; no open-membership or adaptive-coalition deployment validation</x:v>
      </x:c>
      <x:c r="J83" s="60" t="str">
        <x:v>Official ACM abstract and pages 3135-3146; repository note method section 4 pp.4-7 and results section 5 pp.7-10</x:v>
      </x:c>
      <x:c r="K83" s="60" t="str">
        <x:v>Authors claim near-100% detection within two rounds and 95% accuracy recovery in experiments. Inferring that local scope may miss coalition-level plausible messages is corpus interpretation.</x:v>
      </x:c>
      <x:c r="L83" s="60" t="str">
        <x:v>Peer reviewed. Training-distribution dependence, local observability, pruning-induced fragmentation, identity persistence, and coalition evasion constrain transfer.</x:v>
      </x:c>
      <x:c r="M83" s="60" t="str">
        <x:v>Use published WWW metadata. Qualify headline detection/recovery numbers as selected benchmark results. Code detection and containment separately.</x:v>
      </x:c>
      <x:c r="N83" s="60" t="str">
        <x:v>ready_after_minor_patch</x:v>
      </x:c>
      <x:c r="O83" s="60" t="str">
        <x:v>assistant_source_reviewed_pending_author_signoff</x:v>
      </x:c>
    </x:row>
    <x:row r="84">
      <x:c r="A84" s="60" t="n">
        <x:v>83</x:v>
      </x:c>
      <x:c r="B84" s="60" t="str">
        <x:v>huang2026toposhield</x:v>
      </x:c>
      <x:c r="C84" s="60" t="str">
        <x:v>multiple graph structures and placements; exact agent counts require final PDF table signoff</x:v>
      </x:c>
      <x:c r="D84" s="60" t="str">
        <x:v>dynamic/evolving communication graphs; multiple structures</x:v>
      </x:c>
      <x:c r="E84" s="60" t="str">
        <x:v>multi-round timestamped message flow</x:v>
      </x:c>
      <x:c r="F84" s="60" t="str">
        <x:v>static graph safeguards and anomaly-detection baselines, including closely related topology defenses</x:v>
      </x:c>
      <x:c r="G84" s="60" t="str">
        <x:v>toxicity or attack impact, task success/utility, suppression efficiency, and scalability</x:v>
      </x:c>
      <x:c r="H84" s="60" t="str">
        <x:v>task/run and graph condition; 58% reduction and &gt;90% utility refer to highlighted GPT-4o setting</x:v>
      </x:c>
      <x:c r="I84" s="60" t="str">
        <x:v>yes for propagation suppression and task utility in evaluated settings</x:v>
      </x:c>
      <x:c r="J84" s="60" t="str">
        <x:v>ACL Anthology abstract lines 58-61; metadata lines 62-99; repository note method pp.3-6 and results pp.7-10</x:v>
      </x:c>
      <x:c r="K84" s="60" t="str">
        <x:v>Authors explicitly report 58% toxicity reduction and &gt;90% utility in the highlighted GPT-4o setting. Coding global visibility/topology authority as defense assumptions is corpus interpretation.</x:v>
      </x:c>
      <x:c r="L84" s="60" t="str">
        <x:v>Peer reviewed. Requires global trace/graph access and runtime topology control; open membership, heterogeneous roles, and adaptive attackers remain limited.</x:v>
      </x:c>
      <x:c r="M84" s="60" t="str">
        <x:v>Do not generalize the 58% result. Code functions as detection plus containment, not prevention of initial compromise. Record global observer and intervention assumptions.</x:v>
      </x:c>
      <x:c r="N84" s="60" t="str">
        <x:v>ready_after_minor_patch</x:v>
      </x:c>
      <x:c r="O84" s="60" t="str">
        <x:v>assistant_source_reviewed_pending_author_signoff</x:v>
      </x:c>
    </x:row>
    <x:row r="85">
      <x:c r="A85" s="60" t="n">
        <x:v>84</x:v>
      </x:c>
      <x:c r="B85" s="60" t="str">
        <x:v>juneja2025magpie</x:v>
      </x:c>
      <x:c r="C85" s="60" t="str">
        <x:v>multi-agent role-specialized tasks; exact per-task agent counts vary and require dataset-level extraction</x:v>
      </x:c>
      <x:c r="D85" s="60" t="str">
        <x:v>task-specific collaborative conversations; no broad topology sweep</x:v>
      </x:c>
      <x:c r="E85" s="60" t="str">
        <x:v>multi-turn role-relative information exchange</x:v>
      </x:c>
      <x:c r="F85" s="60" t="str">
        <x:v>models and benign/manipulation conditions; earlier version statistics must not be mixed</x:v>
      </x:c>
      <x:c r="G85" s="60" t="str">
        <x:v>percentage of sensitive items leaked, task completion/consensus, and undesirable behavior rates</x:v>
      </x:c>
      <x:c r="H85" s="60" t="str">
        <x:v>sensitive item and task; not message-level or trace-union leakage</x:v>
      </x:c>
      <x:c r="I85" s="60" t="str">
        <x:v>yes for benchmark-defined contextual privacy outcomes</x:v>
      </x:c>
      <x:c r="J85" s="60" t="str">
        <x:v>NeurIPS workshop abstract; repository note dataset/method pp.3-5 and results pp.6-9</x:v>
      </x:c>
      <x:c r="K85" s="60" t="str">
        <x:v>Authors report 200 tasks and model-specific leakage. Treating manipulation as a condition rather than a separate attack paper is corpus interpretation.</x:v>
      </x:c>
      <x:c r="L85" s="60" t="str">
        <x:v>Peer-reviewed workshop, not main track. Synthetic high-stakes tasks, contextual-rule labels, and judge-based behavior coding limit generalization.</x:v>
      </x:c>
      <x:c r="M85" s="60" t="str">
        <x:v>Canonicalize to the five-author 200-task workshop version. Do not mix 158-scenario, GPT-4o/Claude numbers from arXiv 2506.20737 with GPT-5/Gemini numbers from 2510.15186.</x:v>
      </x:c>
      <x:c r="N85" s="60" t="str">
        <x:v>ready_after_major_patch</x:v>
      </x:c>
      <x:c r="O85" s="60" t="str">
        <x:v>assistant_source_reviewed_pending_author_signoff</x:v>
      </x:c>
    </x:row>
    <x:row r="86">
      <x:c r="A86" s="60" t="n">
        <x:v>85</x:v>
      </x:c>
      <x:c r="B86" s="60" t="str">
        <x:v>chen2025medsentry</x:v>
      </x:c>
      <x:c r="C86" s="60" t="str">
        <x:v>five agents in primary cross-topology comparison; additional agent-count ablations</x:v>
      </x:c>
      <x:c r="D86" s="60" t="str">
        <x:v>Layered, SharedPool, Centralized, Decentralized</x:v>
      </x:c>
      <x:c r="E86" s="60" t="str">
        <x:v>topology-specific multi-round medical deliberation</x:v>
      </x:c>
      <x:c r="F86" s="60" t="str">
        <x:v>single-agent CoT/ReAct, MedPrompt, multi-expert prompting, undefended topology variants</x:v>
      </x:c>
      <x:c r="G86" s="60" t="str">
        <x:v>Local Content Safety, Response Safety, medical accuracy, token usage, evaluation time</x:v>
      </x:c>
      <x:c r="H86" s="60" t="str">
        <x:v>prompt/run and possibly agent-local utterance; LCS and RS are distinct and must not be collapsed into ASR</x:v>
      </x:c>
      <x:c r="I86" s="60" t="str">
        <x:v>yes in synthetic medical benchmark; no clinical deployment validation</x:v>
      </x:c>
      <x:c r="J86" s="60" t="str">
        <x:v>Paper Abstract and sections 3-5; Table 1, Figure 2, Tables 2-3; repository note lists pages 1,4-7</x:v>
      </x:c>
      <x:c r="K86" s="60" t="str">
        <x:v>Authors report SharedPool most vulnerable and decentralized most resistant in their setup. Generalizing topology ranking beyond this five-agent medical benchmark would be corpus overreach.</x:v>
      </x:c>
      <x:c r="L86" s="60" t="str">
        <x:v>Preprint only; synthetic harmful prompts, fixed five-agent setup, four canonical topologies, evaluator dependence, and no clinical validation.</x:v>
      </x:c>
      <x:c r="M86" s="60" t="str">
        <x:v>Keep arXiv-only status and do not imply ICLR acceptance. Code primary role as benchmark/evaluation, not attack. Preserve five-agent and medical-domain scope for topology conclusions.</x:v>
      </x:c>
      <x:c r="N86" s="60" t="str">
        <x:v>ready_after_minor_patch</x:v>
      </x:c>
      <x:c r="O86" s="60" t="str">
        <x:v>assistant_source_reviewed_pending_author_signoff</x:v>
      </x:c>
    </x:row>
    <x:row r="87">
      <x:c r="A87" s="60" t="n">
        <x:v>86</x:v>
      </x:c>
      <x:c r="B87" s="60" t="str">
        <x:v>an2026aciarena</x:v>
      </x:c>
      <x:c r="C87" s="60" t="str">
        <x:v>implementation-specific; must be recorded per system rather than one benchmark-wide count</x:v>
      </x:c>
      <x:c r="D87" s="60" t="str">
        <x:v>six implementations spanning centralized, decentralized, sequential, and role-specialized structures</x:v>
      </x:c>
      <x:c r="E87" s="60" t="str">
        <x:v>framework-specific trusted inter-agent messaging and role delegation</x:v>
      </x:c>
      <x:c r="F87" s="60" t="str">
        <x:v>benign utility, undefended attacks, and supported defense modules</x:v>
      </x:c>
      <x:c r="G87" s="60" t="str">
        <x:v>Benign Utility, Attack Success Rate, Defense Success Rate, Propagation Success Rate</x:v>
      </x:c>
      <x:c r="H87" s="60" t="str">
        <x:v>test case/run within surface-objective-system cells; metrics have different predicates and cannot be collapsed</x:v>
      </x:c>
      <x:c r="I87" s="60" t="str">
        <x:v>yes for benchmark-defined hijack/disruption/exfiltration outcomes</x:v>
      </x:c>
      <x:c r="J87" s="60" t="str">
        <x:v>ACL paper Abstract and section 4, section 5.1; 1,356 cases, six implementations, metric definitions</x:v>
      </x:c>
      <x:c r="K87" s="60" t="str">
        <x:v>Authors claim architecture roles matter beyond topology and defense transfer is limited. Mapping each objective to separate global properties is corpus interpretation.</x:v>
      </x:c>
      <x:c r="L87" s="60" t="str">
        <x:v>Peer reviewed. Coverage is modular but limited to included frameworks, attack definitions, judges, and task environments.</x:v>
      </x:c>
      <x:c r="M87" s="60" t="str">
        <x:v>Primary category should be benchmark/evaluation, not attack. Split claims by objective. Record per-system agent count/topology. Do not compare ASR, DSR, and PSR as one quantity.</x:v>
      </x:c>
      <x:c r="N87" s="60" t="str">
        <x:v>ready_after_minor_patch</x:v>
      </x:c>
      <x:c r="O87" s="60" t="str">
        <x:v>assistant_source_reviewed_pending_author_signoff</x:v>
      </x:c>
    </x:row>
    <x:row r="88">
      <x:c r="A88" s="60" t="n">
        <x:v>87</x:v>
      </x:c>
      <x:c r="B88" s="60" t="str">
        <x:v>elyagoubi2026agentleak</x:v>
      </x:c>
      <x:c r="C88" s="60" t="str">
        <x:v>two-agent coordinator-worker topology in large-scale evaluation</x:v>
      </x:c>
      <x:c r="D88" s="60" t="str">
        <x:v>coordinator-worker only in main study; four framework implementations evaluated</x:v>
      </x:c>
      <x:c r="E88" s="60" t="str">
        <x:v>instrumented inter-agent messages and shared memory; other channels sampled or case-studied</x:v>
      </x:c>
      <x:c r="F88" s="60" t="str">
        <x:v>single-agent mode; final-output-only auditing; multiple defenses/frameworks</x:v>
      </x:c>
      <x:c r="G88" s="60" t="str">
        <x:v>C1/C2/C5 channel leakage rates, whole-system OR-union exposure, hidden-leakage H1, attack-family ASR</x:v>
      </x:c>
      <x:c r="H88" s="60" t="str">
        <x:v>4,979 model-scenario traces for C1/C2/C5; channel rates and OR-union are not additive; attack-family ASR uses 1,983 attack tests</x:v>
      </x:c>
      <x:c r="I88" s="60" t="str">
        <x:v>yes for benchmark-defined leakage across instrumented channels</x:v>
      </x:c>
      <x:c r="J88" s="60" t="str">
        <x:v>IEEE/arXiv Tables 8, 10-15; Figures 3-5; main benchmark and methods sections</x:v>
      </x:c>
      <x:c r="K88" s="60" t="str">
        <x:v>Authors explicitly report C2 68.8%, C1 27.2%, total exposure 68.9%, and H1 41.7%. The statement that final-output auditing cannot certify whole-system confidentiality is a supported corpus synthesis, but only within the coordinator-worker setting.</x:v>
      </x:c>
      <x:c r="L88" s="60" t="str">
        <x:v>Peer reviewed. Two-agent coordinator-worker topology, English scenarios, semantic judge FNR, partial C3-C7 full-scale coverage, prompt-structure confound, and framework/version dependence.</x:v>
      </x:c>
      <x:c r="M88" s="60" t="str">
        <x:v>Use final title and author order. Distinguish 41.7 percentage-point hidden-leakage event from “41.7% of all violations” unless denominator wording is exact. Keep channel rates, union exposure, and attack-family ASR separate.</x:v>
      </x:c>
      <x:c r="N88" s="60" t="str">
        <x:v>ready_after_major_patch</x:v>
      </x:c>
      <x:c r="O88" s="60" t="str">
        <x:v>assistant_source_reviewed_pending_author_signoff</x:v>
      </x:c>
    </x:row>
    <x:row r="89">
      <x:c r="A89" s="60" t="n">
        <x:v>88</x:v>
      </x:c>
      <x:c r="B89" s="60" t="str">
        <x:v>nother2026badacts</x:v>
      </x:c>
      <x:c r="C89" s="60" t="str">
        <x:v>environment-specific; no single benchmark-wide count</x:v>
      </x:c>
      <x:c r="D89" s="60" t="str">
        <x:v>decentralized, hierarchical, centralized, and sequential structures depending on environment</x:v>
      </x:c>
      <x:c r="E89" s="60" t="str">
        <x:v>legitimate role-to-role messages monitored by optional guardian</x:v>
      </x:c>
      <x:c r="F89" s="60" t="str">
        <x:v>undefended, safety-warning prompts, zero-shot guardian message monitoring</x:v>
      </x:c>
      <x:c r="G89" s="60" t="str">
        <x:v>environment-specific executable harmful-action success plus benign task outcomes</x:v>
      </x:c>
      <x:c r="H89" s="60" t="str">
        <x:v>937 curated harmful actions in accepted version; aggregation crosses model, role, harm category, and architecture</x:v>
      </x:c>
      <x:c r="I89" s="60" t="str">
        <x:v>yes via executable checks in emulated environments</x:v>
      </x:c>
      <x:c r="J89" s="60" t="str">
        <x:v>Accepted paper contribution list p.2, threat model/Figure 1, benchmark design and ethics/reproducibility sections</x:v>
      </x:c>
      <x:c r="K89" s="60" t="str">
        <x:v>Authors report frequent manipulation and stronger guardian performance than prompt warnings. Mapping heterogeneous harms to several failure properties requires claim-level corpus coding.</x:v>
      </x:c>
      <x:c r="L89" s="60" t="str">
        <x:v>Peer reviewed/accepted. Emulated tools, selected applications, fixed attack role, and environment-specific checks limit open-world generalization.</x:v>
      </x:c>
      <x:c r="M89" s="60" t="str">
        <x:v>Use accepted title and 937-action/five-environment counts only. Primary category benchmark/evaluation. Do not mix earlier-version counts or treat all environments as identical MAS configurations.</x:v>
      </x:c>
      <x:c r="N89" s="60" t="str">
        <x:v>ready_after_major_patch</x:v>
      </x:c>
      <x:c r="O89" s="60" t="str">
        <x:v>assistant_source_reviewed_pending_author_signoff</x:v>
      </x:c>
    </x:row>
    <x:row r="90">
      <x:c r="A90" s="60" t="n">
        <x:v>89</x:v>
      </x:c>
      <x:c r="B90" s="60" t="str">
        <x:v>zhao2026macbench</x:v>
      </x:c>
      <x:c r="C90" s="60" t="str">
        <x:v>framework-specific; main AutoGen hierarchical evaluation plus architecture ablation</x:v>
      </x:c>
      <x:c r="D90" s="60" t="str">
        <x:v>AutoGen hierarchical, ChatDev debate, single-agent ReAct, and other framework conditions</x:v>
      </x:c>
      <x:c r="E90" s="60" t="str">
        <x:v>framework-specific tool-use and delegation traces</x:v>
      </x:c>
      <x:c r="F90" s="60" t="str">
        <x:v>multiple agent benchmarks and architecture conditions; single-agent ReAct is a key comparator</x:v>
      </x:c>
      <x:c r="G90" s="60" t="str">
        <x:v>Success Rate, Compliance Rate, Compliance-Weighted Success Rate, Machiavellian Gap</x:v>
      </x:c>
      <x:c r="H90" s="60" t="str">
        <x:v>episode/rule and model-framework condition; CSR is a composite, not ASR</x:v>
      </x:c>
      <x:c r="I90" s="60" t="str">
        <x:v>yes for benchmark-defined procedural violations; legal/security consequences are scenario-model interpretations</x:v>
      </x:c>
      <x:c r="J90" s="60" t="str">
        <x:v>arXiv sections 3-4; 847 atomic rules; Tables 2-5; metric equations; architecture ablation</x:v>
      </x:c>
      <x:c r="K90" s="60" t="str">
        <x:v>Authors frame non-compliance as Goodhart-style behavior. Treating it as multiagent security must be limited to MAS-specific traces and security-relevant rules.</x:v>
      </x:c>
      <x:c r="L90" s="60" t="str">
        <x:v>Preprint. Generated rules/environments, compliance-oracle validity, model/version currency, mixed single/multiagent scope, and regulatory interpretation constrain claims.</x:v>
      </x:c>
      <x:c r="M90" s="60" t="str">
        <x:v>Do not code whole paper as core MAS security. Separate security rules from general compliance. Record MG/CSR formulas and denominators precisely. Avoid “strategic” intent claims beyond observed behavior.</x:v>
      </x:c>
      <x:c r="N90" s="60" t="str">
        <x:v>ready_after_major_patch</x:v>
      </x:c>
      <x:c r="O90" s="60" t="str">
        <x:v>assistant_source_reviewed_pending_author_signoff</x:v>
      </x:c>
    </x:row>
    <x:row r="91">
      <x:c r="A91" s="60" t="n">
        <x:v>90</x:v>
      </x:c>
      <x:c r="B91" s="60" t="str">
        <x:v>zou2026calbench</x:v>
      </x:c>
      <x:c r="C91" s="60" t="str">
        <x:v>N=5 agents in canonical 90-task suite; 5 sequential meetings and 3 participants per meeting</x:v>
      </x:c>
      <x:c r="D91" s="60" t="str">
        <x:v>communication conditions: private DMs, participant groupchat, all-agent groupchat</x:v>
      </x:c>
      <x:c r="E91" s="60" t="str">
        <x:v>cheap-talk phase followed by independent atomic action batches and environment resolution</x:v>
      </x:c>
      <x:c r="F91" s="60" t="str">
        <x:v>CP-SAT global oracle plus IMAP, SD-MAP, DSM non-LLM protocols under matched private-information constraints</x:v>
      </x:c>
      <x:c r="G91" s="60" t="str">
        <x:v>task success, excess cost/regret, messages per scheduled meeting, fairness cost, VPS privacy loss, semantic-context leakage</x:v>
      </x:c>
      <x:c r="H91" s="60" t="str">
        <x:v>agent-game seat, participant-meeting, slot-equivalent VPS, and scheduled meeting; Table 1 N is seats, not agent population</x:v>
      </x:c>
      <x:c r="I91" s="60" t="str">
        <x:v>yes for verifiable scheduling/privacy metrics; no adversarial attack impact</x:v>
      </x:c>
      <x:c r="J91" s="60" t="str">
        <x:v>arXiv HTML lines 11-23, 50-80, 82-131; Table 1 and metric equations</x:v>
      </x:c>
      <x:c r="K91" s="60" t="str">
        <x:v>Authors explicitly frame CalBench as necessarily decentralized. Coding it as security_relevant rather than core attack evidence is corpus interpretation.</x:v>
      </x:c>
      <x:c r="L91" s="60" t="str">
        <x:v>Preprint. Controlled calendar proxy, reflection-calibrated VPS lower-bound estimate, semantic leakage audit, selected models, and no malicious adversary.</x:v>
      </x:c>
      <x:c r="M91" s="60" t="str">
        <x:v>Resolve four-author arXiv metadata versus five-author PDF title-block conflict. Replace vague N/M notation with canonical N=5, M=5 in main suite. Do not call Table 1 N=135/45 “number of agents”; it is evaluated seats.</x:v>
      </x:c>
      <x:c r="N91" s="60" t="str">
        <x:v>blocked_metadata_signoff</x:v>
      </x:c>
      <x:c r="O91" s="60" t="str">
        <x:v>blocked_metadata_signoff</x:v>
      </x:c>
    </x:row>
    <x:row r="92">
      <x:c r="A92" s="60" t="n">
        <x:v>91</x:v>
      </x:c>
      <x:c r="B92" s="60" t="str">
        <x:v>nakamura2026colosseum</x:v>
      </x:c>
      <x:c r="C92" s="60" t="str">
        <x:v>environment/topology-specific; exact group and coalition sizes require table-level extraction</x:v>
      </x:c>
      <x:c r="D92" s="60" t="str">
        <x:v>multiple network topologies and secret-channel conditions</x:v>
      </x:c>
      <x:c r="E92" s="60" t="str">
        <x:v>free-form natural language plus explicitly provisioned hidden channel in probe conditions</x:v>
      </x:c>
      <x:c r="F92" s="60" t="str">
        <x:v>benign cooperative optimum, explicit objectives, persuasion/topology variants</x:v>
      </x:c>
      <x:c r="G92" s="60" t="str">
        <x:v>overall regret, coalition advantage, LLM-judge collusion labels, text-action agreement</x:v>
      </x:c>
      <x:c r="H92" s="60" t="str">
        <x:v>episode/environment/coalition; regret is objective-relative, not an ASR</x:v>
      </x:c>
      <x:c r="I92" s="60" t="str">
        <x:v>yes in two DCOP environments via action-level objective loss</x:v>
      </x:c>
      <x:c r="J92" s="60" t="str">
        <x:v>arXiv abstract, sections 4-5, metric equations, environment and results sections</x:v>
      </x:c>
      <x:c r="K92" s="60" t="str">
        <x:v>Authors distinguish “collusion on paper” from action-level collusion. Treating action regret as stronger evidence than transcript intent is supported but environment-specific.</x:v>
      </x:c>
      <x:c r="L92" s="60" t="str">
        <x:v>Preprint. Two constructed DCOP environments, artificial secret channel, specified coalition objective, and LLM-judge labels limit prevalence claims.</x:v>
      </x:c>
      <x:c r="M92" s="60" t="str">
        <x:v>Primary category benchmark/evaluation. Do not claim most models spontaneously collude without the secret-channel and objective conditions. Separate textual intent from action-level regret.</x:v>
      </x:c>
      <x:c r="N92" s="60" t="str">
        <x:v>ready_after_minor_patch</x:v>
      </x:c>
      <x:c r="O92" s="60" t="str">
        <x:v>assistant_source_reviewed_pending_author_signoff</x:v>
      </x:c>
    </x:row>
    <x:row r="93">
      <x:c r="A93" s="60" t="n">
        <x:v>92</x:v>
      </x:c>
      <x:c r="B93" s="60" t="str">
        <x:v>milkowski2026amongus</x:v>
      </x:c>
      <x:c r="C93" s="60" t="str">
        <x:v>varied group sizes and impostor ratios across 1,100 games; exact matrix requires methods table</x:v>
      </x:c>
      <x:c r="D93" s="60" t="str">
        <x:v>game-defined shared meeting communication and action phases</x:v>
      </x:c>
      <x:c r="E93" s="60" t="str">
        <x:v>meeting dialogue exceeding one million generated tokens, plus votes and actions</x:v>
      </x:c>
      <x:c r="F93" s="60" t="str">
        <x:v>role/model/group-size comparisons rather than benign attack baselines</x:v>
      </x:c>
      <x:c r="G93" s="60" t="str">
        <x:v>win rate, speech-act and deception-category frequencies, detection outcomes</x:v>
      </x:c>
      <x:c r="H93" s="60" t="str">
        <x:v>game, message/speech act, role, and outcome; not ASR</x:v>
      </x:c>
      <x:c r="I93" s="60" t="str">
        <x:v>yes within the game; external deployment impact not established</x:v>
      </x:c>
      <x:c r="J93" s="60" t="str">
        <x:v>AAMAS paper abstract/methods/results; 1,100 games, &gt;1M tokens, falsification/equivocation coding</x:v>
      </x:c>
      <x:c r="K93" s="60" t="str">
        <x:v>Authors report equivocation increases under pressure but rarely improves wins. Calling this an “attack” would be corpus overreach; it is assigned-role behavioral evidence.</x:v>
      </x:c>
      <x:c r="L93" s="60" t="str">
        <x:v>Peer reviewed. Single game environment, explicit adversarial role, game utility, and limited model/ecological validity.</x:v>
      </x:c>
      <x:c r="M93" s="60" t="str">
        <x:v>Primary category evaluation, not attack. Preserve finding that deception was strategically limited; do not cite as evidence of highly effective autonomous deception.</x:v>
      </x:c>
      <x:c r="N93" s="60" t="str">
        <x:v>ready_after_minor_patch</x:v>
      </x:c>
      <x:c r="O93" s="60" t="str">
        <x:v>assistant_source_reviewed_pending_author_signoff</x:v>
      </x:c>
    </x:row>
    <x:row r="94">
      <x:c r="A94" s="60" t="n">
        <x:v>93</x:v>
      </x:c>
      <x:c r="B94" s="60" t="str">
        <x:v>arora2026safeagents</x:v>
      </x:c>
      <x:c r="C94" s="60" t="str">
        <x:v>architecture-specific; five architectures, not five agents</x:v>
      </x:c>
      <x:c r="D94" s="60" t="str">
        <x:v>centralized, decentralized, and hybrid architecture variants</x:v>
      </x:c>
      <x:c r="E94" s="60" t="str">
        <x:v>planner/subagent delegation and framework-specific contexts</x:v>
      </x:c>
      <x:c r="F94" s="60" t="str">
        <x:v>single-agent and architecture comparisons on four datasets</x:v>
      </x:c>
      <x:c r="G94" s="60" t="str">
        <x:v>ASR, Refusal Rate, ARIA risk levels, DHARMA stage categories</x:v>
      </x:c>
      <x:c r="H94" s="60" t="str">
        <x:v>task/trajectory; DHARMA is a diagnostic taxonomy rather than one scalar metric</x:v>
      </x:c>
      <x:c r="I94" s="60" t="str">
        <x:v>yes for benchmark harmful execution and refusal trajectories</x:v>
      </x:c>
      <x:c r="J94" s="60" t="str">
        <x:v>Workshop/arXiv Abstract, sections 3-5, Figure 3, main tables</x:v>
      </x:c>
      <x:c r="K94" s="60" t="str">
        <x:v>Authors identify atomic delegation, missing fallbacks, and no re-evaluation as weak links. Generalizing beyond the five architectures requires caution.</x:v>
      </x:c>
      <x:c r="L94" s="60" t="str">
        <x:v>Peer-reviewed workshop. LLM-judge error, framework versions, four datasets, direct harmful prompts, and no live tools limit transfer.</x:v>
      </x:c>
      <x:c r="M94" s="60" t="str">
        <x:v>Primary category benchmark/evaluation. Do not call DHARMA a single metric without explaining categories. Distinguish architecture count from agent count. Label workshop status.</x:v>
      </x:c>
      <x:c r="N94" s="60" t="str">
        <x:v>ready_after_minor_patch</x:v>
      </x:c>
      <x:c r="O94" s="60" t="str">
        <x:v>assistant_source_reviewed_pending_author_signoff</x:v>
      </x:c>
    </x:row>
    <x:row r="95">
      <x:c r="A95" s="60" t="n">
        <x:v>94</x:v>
      </x:c>
      <x:c r="B95" s="60" t="str">
        <x:v>lemercier2026gambit</x:v>
      </x:c>
      <x:c r="C95" s="60" t="str">
        <x:v>collective size must be signed off from the full PDF; one member is the imposter in each attacked collective</x:v>
      </x:c>
      <x:c r="D95" s="60" t="str">
        <x:v>fixed deliberative collective in a chess environment; not a broad topology study</x:v>
      </x:c>
      <x:c r="E95" s="60" t="str">
        <x:v>natural-language collaborative chess reasoning under repeated adaptive strategy generation</x:v>
      </x:c>
      <x:c r="F95" s="60" t="str">
        <x:v>zero-shot detectors, distribution-shift modes, meta-learned recalibration variants, and 20-example post-shift adaptation</x:v>
      </x:c>
      <x:c r="G95" s="60" t="str">
        <x:v>three benchmark modes; two independent detection/adaptation scores; F1 for imposter detection; collective chess performance</x:v>
      </x:c>
      <x:c r="H95" s="60" t="str">
        <x:v>27,804 labeled discussion instances spanning 240 co-evolved imposter strategies; 22,104 train and 5,700 held-out according to the paper note</x:v>
      </x:c>
      <x:c r="I95" s="60" t="str">
        <x:v>yes within the chess benchmark: the attack changes the collective answer and detector outcome</x:v>
      </x:c>
      <x:c r="J95" s="60" t="str">
        <x:v>arXiv abstract; method and benchmark sections; Figure 1; dataset split and adaptation result tables. Exact page/table locators require final author signoff.</x:v>
      </x:c>
      <x:c r="K95" s="60" t="str">
        <x:v>Authors explicitly claim 27,804 instances, 240 strategies, 20-example recalibration, 8x adaptation separation, and 20x faster convergence. Calling the result a general MAS security law would be corpus overreach; it is a strong adaptive-evaluation case study.</x:v>
      </x:c>
      <x:c r="L95" s="60" t="str">
        <x:v>Preprint only; chess substrate, Gemini-centered agents, one adaptive attack generator, unclear transfer to tools/shared memory/open membership, and recalibration assumes labeled post-shift data.</x:v>
      </x:c>
      <x:c r="M95" s="60" t="str">
        <x:v>Primary category should be benchmark rather than attack. Do not treat zero-shot F1, recalibration score, and collective task degradation as one metric. Verify exact collective size and table locators before manuscript use.</x:v>
      </x:c>
      <x:c r="N95" s="60" t="str">
        <x:v>ready_after_major_patch</x:v>
      </x:c>
      <x:c r="O95" s="60" t="str">
        <x:v>assistant_source_reviewed_pending_author_signoff</x:v>
      </x:c>
    </x:row>
    <x:row r="96">
      <x:c r="A96" s="60" t="n">
        <x:v>95</x:v>
      </x:c>
      <x:c r="B96" s="60" t="str">
        <x:v>mateotorrejon2026gammaf</x:v>
      </x:c>
      <x:c r="C96" s="60" t="str">
        <x:v>varies by generated graph configuration; exact ranges require full-PDF signoff</x:v>
      </x:c>
      <x:c r="D96" s="60" t="str">
        <x:v>chain, tree, and random debate topologies in the note; framework claims broader topology generation</x:v>
      </x:c>
      <x:c r="E96" s="60" t="str">
        <x:v>multi-round debate captured as attributed interaction graphs</x:v>
      </x:c>
      <x:c r="F96" s="60" t="str">
        <x:v>XG-Guard and BlindGuard plus undefended configurations</x:v>
      </x:c>
      <x:c r="G96" s="60" t="str">
        <x:v>agent/task accuracy, ASR, malicious-node detection performance, token cost, and execution efficiency</x:v>
      </x:c>
      <x:c r="H96" s="60" t="str">
        <x:v>task-run and agent/node instances generated by the framework; exact dataset sizes and split denominators require PDF signoff</x:v>
      </x:c>
      <x:c r="I96" s="60" t="str">
        <x:v>yes for benchmark-defined collective answer and cost outcomes</x:v>
      </x:c>
      <x:c r="J96" s="60" t="str">
        <x:v>arXiv abstract; architecture Figure 2; training-data-generation and defense-benchmarking sections; main result tables</x:v>
      </x:c>
      <x:c r="K96" s="60" t="str">
        <x:v>Authors explicitly state that GAMMAF is not a new defense. Coding node isolation as containment and graph visibility as a defense assumption is corpus interpretation.</x:v>
      </x:c>
      <x:c r="L96" s="60" t="str">
        <x:v>Preprint; synthetic interactions, limited tasks and defense set, benchmark-specific attack generator, and no evidence for open membership or tool-rich workflows.</x:v>
      </x:c>
      <x:c r="M96" s="60" t="str">
        <x:v>Primary category must be benchmark/evaluation, not defense. Separate detection quality from recovered task utility and token cost. Record exact graph sizes and denominators before quantitative synthesis.</x:v>
      </x:c>
      <x:c r="N96" s="60" t="str">
        <x:v>ready_after_major_patch</x:v>
      </x:c>
      <x:c r="O96" s="60" t="str">
        <x:v>assistant_source_reviewed_pending_author_signoff</x:v>
      </x:c>
    </x:row>
    <x:row r="97">
      <x:c r="A97" s="60" t="n">
        <x:v>96</x:v>
      </x:c>
      <x:c r="B97" s="60" t="str">
        <x:v>rahman2026harp</x:v>
      </x:c>
      <x:c r="C97" s="60" t="str">
        <x:v>seven specialist agents plus router and decision-engine nodes in the implementation</x:v>
      </x:c>
      <x:c r="D97" s="60" t="str">
        <x:v>router-coordinated specialist workflow with required pre-check chains</x:v>
      </x:c>
      <x:c r="E97" s="60" t="str">
        <x:v>structured specialist outputs, shared evidence, memory reads/writes, tools, and decision-gate inputs</x:v>
      </x:c>
      <x:c r="F97" s="60" t="str">
        <x:v>paired clean runs; no defense; prompt sandwiching; LlamaFirewall; ToolSafe; IntegrityGuard</x:v>
      </x:c>
      <x:c r="G97" s="60" t="str">
        <x:v>ASR; safe and malicious impact; local harm; global harm; harm amplification H_global/H_local; stealth; benign utility; latency; normalized token cost</x:v>
      </x:c>
      <x:c r="H97" s="60" t="str">
        <x:v>paired query traces over 12 scenarios and five defense settings; local harm is over targeted components, global harm over all participating agents/events</x:v>
      </x:c>
      <x:c r="I97" s="60" t="str">
        <x:v>yes within the controlled finance workflow: final decisions, tool/memory events, and full-trace deviations are checked</x:v>
      </x:c>
      <x:c r="J97" s="60" t="str">
        <x:v>arXiv abstract and lines 104-124 of HTML; methodology sections 3.1-3.2; Tables 1 and 3-5; trace and metric definitions</x:v>
      </x:c>
      <x:c r="K97" s="60" t="str">
        <x:v>The local/global harm ratio and regime-specific results are author claims. Treating HARP as evidence that all MAS amplify harm would be overgeneralization.</x:v>
      </x:c>
      <x:c r="L97" s="60" t="str">
        <x:v>Preprint; one finance architecture, synthetic/resettable state, custom rule plus AI observers, selected harms, deterministic gate, and clean/perturbed oracle dependence.</x:v>
      </x:c>
      <x:c r="M97" s="60" t="str">
        <x:v>Primary category benchmark/evaluation. Keep ASR, malicious impact, global harm, and amplification separate. Do not compare HARP's ratio with population infection metrics. State seven specialists precisely rather than generic 'seven-agent workflow' if router/gate counting matters.</x:v>
      </x:c>
      <x:c r="N97" s="60" t="str">
        <x:v>ready_after_major_patch</x:v>
      </x:c>
      <x:c r="O97" s="60" t="str">
        <x:v>assistant_source_reviewed_pending_author_signoff</x:v>
      </x:c>
    </x:row>
    <x:row r="98">
      <x:c r="A98" s="60" t="n">
        <x:v>97</x:v>
      </x:c>
      <x:c r="B98" s="60" t="str">
        <x:v>olson2026liecraft</x:v>
      </x:c>
      <x:c r="C98" s="60" t="str">
        <x:v>scenario-specific multi-player games; exact player counts vary and require table-level signoff</x:v>
      </x:c>
      <x:c r="D98" s="60" t="str">
        <x:v>game-defined all-player or role-mediated interaction rather than general graph topologies</x:v>
      </x:c>
      <x:c r="E98" s="60" t="str">
        <x:v>natural-language hidden-role deliberation and action</x:v>
      </x:c>
      <x:c r="F98" s="60" t="str">
        <x:v>12 LLMs evaluated on identical scenarios and role conditions</x:v>
      </x:c>
      <x:c r="G98" s="60" t="str">
        <x:v>defection propensity, deception skill/success, accusation accuracy, and TrueSkill</x:v>
      </x:c>
      <x:c r="H98" s="60" t="str">
        <x:v>game/role/scenario instances across ten scenarios; denominators differ across behavioral axes</x:v>
      </x:c>
      <x:c r="I98" s="60" t="str">
        <x:v>yes for game outcomes; not evidence of real-world attack prevalence</x:v>
      </x:c>
      <x:c r="J98" s="60" t="str">
        <x:v>AAAI published paper, framework and evaluation sections, scenario table, main results tables, pp. 37802-37809</x:v>
      </x:c>
      <x:c r="K98" s="60" t="str">
        <x:v>Authors explicitly measure three behavioral axes. Coding the work as security_relevant rather than core attack evidence is corpus interpretation.</x:v>
      </x:c>
      <x:c r="L98" s="60" t="str">
        <x:v>Peer reviewed, but game framing, assigned objectives, scenario effects, and absence of deployment tools/authority limit external validity.</x:v>
      </x:c>
      <x:c r="M98" s="60" t="str">
        <x:v>Primary category benchmark/evaluation, not attack. Separate propensity to defect, skill at deception, and peer detection. Do not describe induced game behavior as spontaneous collusion.</x:v>
      </x:c>
      <x:c r="N98" s="60" t="str">
        <x:v>ready_after_minor_patch</x:v>
      </x:c>
      <x:c r="O98" s="60" t="str">
        <x:v>assistant_source_reviewed_pending_author_signoff</x:v>
      </x:c>
    </x:row>
    <x:row r="99">
      <x:c r="A99" s="60" t="n">
        <x:v>98</x:v>
      </x:c>
      <x:c r="B99" s="60" t="str">
        <x:v>jia2026masfire</x:v>
      </x:c>
      <x:c r="C99" s="60" t="str">
        <x:v>architecture-specific; exact counts require PDF signoff</x:v>
      </x:c>
      <x:c r="D99" s="60" t="str">
        <x:v>three architecture families according to the paper; exact labels/counts require signoff</x:v>
      </x:c>
      <x:c r="E99" s="60" t="str">
        <x:v>unstructured natural-language messages with controlled prompt/response/routing injections</x:v>
      </x:c>
      <x:c r="F99" s="60" t="str">
        <x:v>clean runs; end-to-end success evaluation; architecture comparisons</x:v>
      </x:c>
      <x:c r="G99" s="60" t="str">
        <x:v>task success/robustness, propagation, masking, and recovery measures</x:v>
      </x:c>
      <x:c r="H99" s="60" t="str">
        <x:v>fault-run and downstream-agent/step events; exact 15-fault-type and architecture denominators require table-level verification</x:v>
      </x:c>
      <x:c r="I99" s="60" t="str">
        <x:v>yes for benchmark-defined reliability outcomes, not necessarily adversarial security impact</x:v>
      </x:c>
      <x:c r="J99" s="60" t="str">
        <x:v>arXiv abstract; framework and fault-library sections; main propagation/recovery tables; exact pages require signoff</x:v>
      </x:c>
      <x:c r="K99" s="60" t="str">
        <x:v>Authors explicitly present a reliability benchmark. Treating fault propagation as attack evidence requires an explicit adversarial threat model, which is corpus interpretation.</x:v>
      </x:c>
      <x:c r="L99" s="60" t="str">
        <x:v>Preprint; synthetic faults, chosen tasks/frameworks, oracle dependence, and no strategic adaptive attacker.</x:v>
      </x:c>
      <x:c r="M99" s="60" t="str">
        <x:v>Change scope from security attack to adjacent reliability benchmark. Do not label all fault injection as malicious. Separate propagation, masking, and recovery metrics from final task success.</x:v>
      </x:c>
      <x:c r="N99" s="60" t="str">
        <x:v>ready_after_major_patch</x:v>
      </x:c>
      <x:c r="O99" s="60" t="str">
        <x:v>assistant_source_reviewed_pending_author_signoff</x:v>
      </x:c>
    </x:row>
    <x:row r="100">
      <x:c r="A100" s="60" t="n">
        <x:v>99</x:v>
      </x:c>
      <x:c r="B100" s="60" t="str">
        <x:v>gonzalez2026multimodalsafety</x:v>
      </x:c>
      <x:c r="C100" s="60" t="str">
        <x:v>five agents in the reported social simulation, with repeated runs; verify exact run design from final paper tables</x:v>
      </x:c>
      <x:c r="D100" s="60" t="str">
        <x:v>shared social environment rather than an explicit comparative graph-topology study</x:v>
      </x:c>
      <x:c r="E100" s="60" t="str">
        <x:v>repeated social conversation plus multimodal perception and shared state</x:v>
      </x:c>
      <x:c r="F100" s="60" t="str">
        <x:v>safe versus unsafe plans; text-only versus multimodal conditions</x:v>
      </x:c>
      <x:c r="G100" s="60" t="str">
        <x:v>SocialMetrics for unsafe-plan revision, acceptance, and execution of unsafe actions</x:v>
      </x:c>
      <x:c r="H100" s="60" t="str">
        <x:v>1,000 multimodal plans and more than 600,000 simulation steps; plan-level and action-level rates are different denominators</x:v>
      </x:c>
      <x:c r="I100" s="60" t="str">
        <x:v>yes for labeled simulation actions; not a security attack outcome</x:v>
      </x:c>
      <x:c r="J100" s="60" t="str">
        <x:v>ACL paper Abstract, sections 3-4, Figure 1, main results tables, pp. 41295-41310</x:v>
      </x:c>
      <x:c r="K100" s="60" t="str">
        <x:v>Authors report 55% correction of unsafe plans and 45% unsafe action acceptance under misleading visual cues. Coding as adjacent rather than core security is corpus interpretation.</x:v>
      </x:c>
      <x:c r="L100" s="60" t="str">
        <x:v>Peer reviewed but simulation-only, no strategic attacker, label dependence, five-agent setting, and uncertain transfer to deployed tool systems.</x:v>
      </x:c>
      <x:c r="M100" s="60" t="str">
        <x:v>Primary category benchmark/evaluation. Keep plan correction and action acceptance denominators separate. Do not use as evidence of adversarial MAS attacks.</x:v>
      </x:c>
      <x:c r="N100" s="60" t="str">
        <x:v>ready_after_minor_patch</x:v>
      </x:c>
      <x:c r="O100" s="60" t="str">
        <x:v>assistant_source_reviewed_pending_author_signoff</x:v>
      </x:c>
    </x:row>
    <x:row r="101">
      <x:c r="A101" s="60" t="n">
        <x:v>100</x:v>
      </x:c>
      <x:c r="B101" s="60" t="str">
        <x:v>dong2026pear</x:v>
      </x:c>
      <x:c r="C101" s="60" t="str">
        <x:v>two roles: one planner and one executor</x:v>
      </x:c>
      <x:c r="D101" s="60" t="str">
        <x:v>fixed two-role planner-executor pipeline</x:v>
      </x:c>
      <x:c r="E101" s="60" t="str">
        <x:v>plan delegation from planner to executor with controlled memory conditions</x:v>
      </x:c>
      <x:c r="F101" s="60" t="str">
        <x:v>planner-targeted versus executor-targeted attacks; memory ablations; multiple backbones; benign utility</x:v>
      </x:c>
      <x:c r="G101" s="60" t="str">
        <x:v>task utility and role-specific attack/robustness outcomes; exact paper terminology should be preserved</x:v>
      </x:c>
      <x:c r="H101" s="60" t="str">
        <x:v>task-run under role/attack/memory condition</x:v>
      </x:c>
      <x:c r="I101" s="60" t="str">
        <x:v>yes for final delegated workflow outcomes in the benchmark</x:v>
      </x:c>
      <x:c r="J101" s="60" t="str">
        <x:v>Findings EACL Abstract, sections 3-4, Figure 1, main tables, pp. 4547-4567</x:v>
      </x:c>
      <x:c r="K101" s="60" t="str">
        <x:v>Authors explicitly show role and memory dependence. Generalizing to arbitrary MAS topologies is not supported.</x:v>
      </x:c>
      <x:c r="L101" s="60" t="str">
        <x:v>Peer reviewed; only two roles, benchmark tool tasks, selected models, role-specific injection, and no open membership.</x:v>
      </x:c>
      <x:c r="M101" s="60" t="str">
        <x:v>Primary category benchmark/evaluation. State one planner plus one executor. Do not call role position a graph topology result. Keep withdrawn arXiv out of canonical counts.</x:v>
      </x:c>
      <x:c r="N101" s="60" t="str">
        <x:v>ready_after_minor_patch</x:v>
      </x:c>
      <x:c r="O101" s="60" t="str">
        <x:v>assistant_source_reviewed_pending_author_signoff</x:v>
      </x:c>
    </x:row>
    <x:row r="102">
      <x:c r="A102" s="60" t="n">
        <x:v>101</x:v>
      </x:c>
      <x:c r="B102" s="60" t="str">
        <x:v>jiang2026risklab</x:v>
      </x:c>
      <x:c r="C102" s="60" t="str">
        <x:v>user-configurable; no single canonical population</x:v>
      </x:c>
      <x:c r="D102" s="60" t="str">
        <x:v>user-configurable as one element of topology-environment-protocol-agent-task model</x:v>
      </x:c>
      <x:c r="E102" s="60" t="str">
        <x:v>protocol-configurable with global trajectory logging</x:v>
      </x:c>
      <x:c r="F102" s="60" t="str">
        <x:v>clean configurations and alternative structural settings</x:v>
      </x:c>
      <x:c r="G102" s="60" t="str">
        <x:v>risk-specific trajectory-grounded measures plus task outcomes</x:v>
      </x:c>
      <x:c r="H102" s="60" t="str">
        <x:v>scenario/trajectory/module dependent; no single universal denominator</x:v>
      </x:c>
      <x:c r="I102" s="60" t="str">
        <x:v>yes for implemented controlled probes, not for deployment prevalence</x:v>
      </x:c>
      <x:c r="J102" s="60" t="str">
        <x:v>ACL demo Abstract, sections 2-4, Figure 1, pp. 167-177</x:v>
      </x:c>
      <x:c r="K102" s="60" t="str">
        <x:v>Authors explicitly define the five-part experiment model and four probes. Treating the toolkit as comprehensive security coverage would be overreach.</x:v>
      </x:c>
      <x:c r="L102" s="60" t="str">
        <x:v>Peer-reviewed system demo; controlled abstractions, scenario-oracle dependence, implemented modules only, and limited evidence about real systems.</x:v>
      </x:c>
      <x:c r="M102" s="60" t="str">
        <x:v>Primary category system demonstration/evaluation, not attack. Do not aggregate four probe families into one risk metric. Keep security-relevant scope rather than blanket core security.</x:v>
      </x:c>
      <x:c r="N102" s="60" t="str">
        <x:v>ready_after_minor_patch</x:v>
      </x:c>
      <x:c r="O102" s="60" t="str">
        <x:v>assistant_source_reviewed_pending_author_signoff</x:v>
      </x:c>
    </x:row>
    <x:row r="103">
      <x:c r="A103" s="60" t="n">
        <x:v>102</x:v>
      </x:c>
      <x:c r="B103" s="60" t="str">
        <x:v>kavathekar2026tamas</x:v>
      </x:c>
      <x:c r="C103" s="60" t="str">
        <x:v>scenario/configuration-specific; do not infer from number of configurations</x:v>
      </x:c>
      <x:c r="D103" s="60" t="str">
        <x:v>centralized orchestrator, decentralized collaboration, and sequential collaboration</x:v>
      </x:c>
      <x:c r="E103" s="60" t="str">
        <x:v>framework-specific agent messaging and tool-mediated workflow</x:v>
      </x:c>
      <x:c r="F103" s="60" t="str">
        <x:v>single-agent where provided; three MAS configurations; ten LLMs; benign tasks</x:v>
      </x:c>
      <x:c r="G103" s="60" t="str">
        <x:v>Attack Success Rate, Task Success Rate, and Effective Robustness Score combining resistance and effectiveness</x:v>
      </x:c>
      <x:c r="H103" s="60" t="str">
        <x:v>300 adversarial instances and 100 harmless tasks across five domains/six attack types; ERS is benchmark-specific</x:v>
      </x:c>
      <x:c r="I103" s="60" t="str">
        <x:v>yes for benchmark-defined harmful or failed workflow outcomes</x:v>
      </x:c>
      <x:c r="J103" s="60" t="str">
        <x:v>ACL Abstract, section 5/5.1, Table 3 and results tables, pp. 31238-31268</x:v>
      </x:c>
      <x:c r="K103" s="60" t="str">
        <x:v>Authors explicitly report benchmark scale and ERS. Treating ERS as a general MAS robustness metric is unsupported.</x:v>
      </x:c>
      <x:c r="L103" s="60" t="str">
        <x:v>Peer reviewed; selected frameworks, tools, models, domains, static configurations, and final-outcome-heavy observation.</x:v>
      </x:c>
      <x:c r="M103" s="60" t="str">
        <x:v>Primary category benchmark/evaluation. Change scope to core security. Preserve separate ASR, TSR, and ERS definitions. Do not infer population propagation from task-level ASR.</x:v>
      </x:c>
      <x:c r="N103" s="60" t="str">
        <x:v>ready_after_minor_patch</x:v>
      </x:c>
      <x:c r="O103" s="60" t="str">
        <x:v>assistant_source_reviewed_pending_author_signoff</x:v>
      </x:c>
    </x:row>
    <x:row r="104">
      <x:c r="A104" s="60" t="n">
        <x:v>103</x:v>
      </x:c>
      <x:c r="B104" s="60" t="str">
        <x:v>liu2026valueflow</x:v>
      </x:c>
      <x:c r="C104" s="60" t="str">
        <x:v>configuration-dependent; exact populations require table-level signoff</x:v>
      </x:c>
      <x:c r="D104" s="60" t="str">
        <x:v>chain, tree, star, mesh, and two-layer fully connected configurations according to the current arXiv text</x:v>
      </x:c>
      <x:c r="E104" s="60" t="str">
        <x:v>agents condition on prior value-expressive outputs</x:v>
      </x:c>
      <x:c r="F104" s="60" t="str">
        <x:v>unperturbed systems; alternate node positions; models, personas, and topology conditions</x:v>
      </x:c>
      <x:c r="G104" s="60" t="str">
        <x:v>beta-susceptibility at agent level and system susceptibility at final-output level</x:v>
      </x:c>
      <x:c r="H104" s="60" t="str">
        <x:v>56 values and 560 questions; node/agent and final-system measurements are separate units</x:v>
      </x:c>
      <x:c r="I104" s="60" t="str">
        <x:v>yes for controlled final-output changes; no deployment attack or real consequence</x:v>
      </x:c>
      <x:c r="J104" s="60" t="str">
        <x:v>arXiv Abstract, sections 2-5, Table 1, Figures 2 and 4-7</x:v>
      </x:c>
      <x:c r="K104" s="60" t="str">
        <x:v>Authors explicitly separate agent and system susceptibility. Coding it as objective-integrity evidence rather than a security attack is corpus interpretation.</x:v>
      </x:c>
      <x:c r="L104" s="60" t="str">
        <x:v>Preprint; controlled perturbations, LLM judge, value-set construction, selected topologies/models, and no strategic attacker.</x:v>
      </x:c>
      <x:c r="M104" s="60" t="str">
        <x:v>Primary category evaluation/benchmark, not attack. Keep agent susceptibility and system susceptibility separate. Scope should remain security-relevant rather than core attack evidence.</x:v>
      </x:c>
      <x:c r="N104" s="60" t="str">
        <x:v>ready_after_minor_patch</x:v>
      </x:c>
      <x:c r="O104" s="60" t="str">
        <x:v>assistant_source_reviewed_pending_author_signoff</x:v>
      </x:c>
    </x:row>
    <x:row r="105">
      <x:c r="A105" s="60" t="n">
        <x:v>104</x:v>
      </x:c>
      <x:c r="B105" s="60" t="str">
        <x:v>allegrini2025formalizing</x:v>
      </x:c>
      <x:c r="C105" s="60" t="str">
        <x:v>not a fixed empirical population</x:v>
      </x:c>
      <x:c r="D105" s="60" t="str">
        <x:v>formal host/tool/peer-agent composition rather than benchmarked graph topologies</x:v>
      </x:c>
      <x:c r="E105" s="60" t="str">
        <x:v>modeled MCP and A2A interactions plus task lifecycle transitions</x:v>
      </x:c>
      <x:c r="F105" s="60" t="str">
        <x:v>isolated protocol analyses; no empirical benchmark baseline</x:v>
      </x:c>
      <x:c r="G105" s="60" t="str">
        <x:v>formal property satisfaction; 17 host-agent and 14 task-lifecycle properties according to the arXiv abstract</x:v>
      </x:c>
      <x:c r="H105" s="60" t="str">
        <x:v>property/model instance, not task-run ASR</x:v>
      </x:c>
      <x:c r="I105" s="60" t="str">
        <x:v>formal/model-level only; no empirical system-impact prevalence</x:v>
      </x:c>
      <x:c r="J105" s="60" t="str">
        <x:v>arXiv Abstract; formal model and property sections, pp. 3-8 in the corpus note; property definitions and architecture figure</x:v>
      </x:c>
      <x:c r="K105" s="60" t="str">
        <x:v>Authors explicitly define two models and temporal-logic properties. Treating this as evidence that deployed systems violate them is unsupported.</x:v>
      </x:c>
      <x:c r="L105" s="60" t="str">
        <x:v>Preprint; abstraction fidelity, opaque LLM semantics, evolving protocols, no broad implementation study, and mixed MCP/A2A scope.</x:v>
      </x:c>
      <x:c r="M105" s="60" t="str">
        <x:v>Change primary category from generic general/core-security to theoretical framework with security-relevant scope. Record 31 formal properties precisely. Do not treat formal expressiveness as empirical attack or defense coverage.</x:v>
      </x:c>
      <x:c r="N105" s="60" t="str">
        <x:v>ready_after_major_patch</x:v>
      </x:c>
      <x:c r="O105" s="60" t="str">
        <x:v>assistant_source_reviewed_pending_author_signoff</x:v>
      </x:c>
    </x:row>
    <x:row r="106">
      <x:c r="A106" s="60" t="n">
        <x:v>105</x:v>
      </x:c>
      <x:c r="B106" s="60" t="str">
        <x:v>bellay2025safesystems</x:v>
      </x:c>
      <x:c r="C106" s="60" t="str">
        <x:v>not applicable</x:v>
      </x:c>
      <x:c r="D106" s="60" t="str">
        <x:v>conceptual heterogeneous multiagent systems</x:v>
      </x:c>
      <x:c r="E106" s="60" t="str">
        <x:v>not empirically specified</x:v>
      </x:c>
      <x:c r="F106" s="60" t="str">
        <x:v>local-agent alignment framing</x:v>
      </x:c>
      <x:c r="G106" s="60" t="str">
        <x:v>none</x:v>
      </x:c>
      <x:c r="H106" s="60" t="str">
        <x:v>not applicable</x:v>
      </x:c>
      <x:c r="I106" s="60" t="str">
        <x:v>no empirical verification</x:v>
      </x:c>
      <x:c r="J106" s="60" t="str">
        <x:v>AAMAS official proceedings, Blue Sky section, pp. 2849-2853; main thesis throughout</x:v>
      </x:c>
      <x:c r="K106" s="60" t="str">
        <x:v>The system-level thesis is explicit. Mapping it to the SoK's property-based taxonomy is corpus interpretation.</x:v>
      </x:c>
      <x:c r="L106" s="60" t="str">
        <x:v>Peer-reviewed Blue Sky/position paper; no implementation, attack corpus, metric, or benchmark.</x:v>
      </x:c>
      <x:c r="M106" s="60" t="str">
        <x:v>Use full canonical title with ': Challenges and Opportunities'. Preserve adjacent status. Never count it as evaluated defense coverage.</x:v>
      </x:c>
      <x:c r="N106" s="60" t="str">
        <x:v>ready_after_minor_patch</x:v>
      </x:c>
      <x:c r="O106" s="60" t="str">
        <x:v>assistant_source_reviewed_pending_author_signoff</x:v>
      </x:c>
    </x:row>
    <x:row r="107">
      <x:c r="A107" s="60" t="n">
        <x:v>106</x:v>
      </x:c>
      <x:c r="B107" s="60" t="str">
        <x:v>hu2025responsibility</x:v>
      </x:c>
      <x:c r="C107" s="60" t="str">
        <x:v>not applicable</x:v>
      </x:c>
      <x:c r="D107" s="60" t="str">
        <x:v>conceptual LLM-MAS</x:v>
      </x:c>
      <x:c r="E107" s="60" t="str">
        <x:v>not empirically specified</x:v>
      </x:c>
      <x:c r="F107" s="60" t="str">
        <x:v>local alignment framing</x:v>
      </x:c>
      <x:c r="G107" s="60" t="str">
        <x:v>none</x:v>
      </x:c>
      <x:c r="H107" s="60" t="str">
        <x:v>not applicable</x:v>
      </x:c>
      <x:c r="I107" s="60" t="str">
        <x:v>no empirical verification</x:v>
      </x:c>
      <x:c r="J107" s="60" t="str">
        <x:v>arXiv Abstract; framework sections on agreement, uncertainty, security, and governance</x:v>
      </x:c>
      <x:c r="K107" s="60" t="str">
        <x:v>The global-responsibility thesis is explicit. Mapping it to objective-integrity and observer-scope categories is corpus interpretation.</x:v>
      </x:c>
      <x:c r="L107" s="60" t="str">
        <x:v>Preprint position paper; no controlled security evaluation, no attack denominator, and broad normative constructs.</x:v>
      </x:c>
      <x:c r="M107" s="60" t="str">
        <x:v>Keep as general/position related work, not attack or defense evidence. Do not cite as empirical proof of collective drift prevalence.</x:v>
      </x:c>
      <x:c r="N107" s="60" t="str">
        <x:v>ready_after_minor_patch</x:v>
      </x:c>
      <x:c r="O107" s="60" t="str">
        <x:v>assistant_source_reviewed_pending_author_signoff</x:v>
      </x:c>
    </x:row>
    <x:row r="108">
      <x:c r="A108" s="60" t="n">
        <x:v>107</x:v>
      </x:c>
      <x:c r="B108" s="60" t="str">
        <x:v>anbiaee2026protocols</x:v>
      </x:c>
      <x:c r="C108" s="60" t="str">
        <x:v>not fixed; protocol-level analysis</x:v>
      </x:c>
      <x:c r="D108" s="60" t="str">
        <x:v>protocol-specific client/server/peer ecosystem structures</x:v>
      </x:c>
      <x:c r="E108" s="60" t="str">
        <x:v>MCP, A2A, Agora, and ANP protocol messages and lifecycle transitions</x:v>
      </x:c>
      <x:c r="F108" s="60" t="str">
        <x:v>comparative threat/risk matrix; resolver policies in the MCP case study</x:v>
      </x:c>
      <x:c r="G108" s="60" t="str">
        <x:v>qualitative likelihood/impact/overall risk; case-study wrong-provider execution rate</x:v>
      </x:c>
      <x:c r="H108" s="60" t="str">
        <x:v>protocol/risk item and MCP resolution trial; exact empirical denominator requires table-level signoff</x:v>
      </x:c>
      <x:c r="I108" s="60" t="str">
        <x:v>partly: qualitative threats are modeled; MCP case study empirically validates one claim</x:v>
      </x:c>
      <x:c r="J108" s="60" t="str">
        <x:v>arXiv Abstract; protocol architecture and comparison sections; twelve-risk tables; MCP measurement case study</x:v>
      </x:c>
      <x:c r="K108" s="60" t="str">
        <x:v>Authors explicitly present systematic protocol analysis and a measurement case. Classifying MCP as mixed rather than pure MAS is corpus interpretation.</x:v>
      </x:c>
      <x:c r="L108" s="60" t="str">
        <x:v>Preprint; fast-changing specifications, selected implementations, one measurement case, qualitative scoring subjectivity, and mixed agent-tool/agent-agent scope.</x:v>
      </x:c>
      <x:c r="M108" s="60" t="str">
        <x:v>Primary category is threat modeling/comparative study, not attack. Downgrade blanket core-MAS scope to security-relevant mixed scope. Add the measurement-driven MCP case study omitted from the current note.</x:v>
      </x:c>
      <x:c r="N108" s="60" t="str">
        <x:v>ready_after_major_patch</x:v>
      </x:c>
      <x:c r="O108" s="60" t="str">
        <x:v>assistant_source_reviewed_pending_author_signoff</x:v>
      </x:c>
    </x:row>
    <x:row r="109">
      <x:c r="A109" s="60" t="n">
        <x:v>108</x:v>
      </x:c>
      <x:c r="B109" s="60" t="str">
        <x:v>yu2025trustworthyagents</x:v>
      </x:c>
      <x:c r="C109" s="60" t="str">
        <x:v>not applicable</x:v>
      </x:c>
      <x:c r="D109" s="60" t="str">
        <x:v>varies across surveyed studies</x:v>
      </x:c>
      <x:c r="E109" s="60" t="str">
        <x:v>varies</x:v>
      </x:c>
      <x:c r="F109" s="60" t="str">
        <x:v>prior trustworthy-LLM and agent surveys</x:v>
      </x:c>
      <x:c r="G109" s="60" t="str">
        <x:v>literature/taxonomy coverage; no unified attack metric</x:v>
      </x:c>
      <x:c r="H109" s="60" t="str">
        <x:v>survey papers/citations, not attack runs</x:v>
      </x:c>
      <x:c r="I109" s="60" t="str">
        <x:v>not applicable</x:v>
      </x:c>
      <x:c r="J109" s="60" t="str">
        <x:v>Published KDD paper taxonomy/framework sections and taxonomy figure; pp. 6216-6226</x:v>
      </x:c>
      <x:c r="K109" s="60" t="str">
        <x:v>Authors explicitly split intrinsic and extrinsic trustworthiness. Calling peer-agent interaction secondary rather than primary is comparative corpus interpretation.</x:v>
      </x:c>
      <x:c r="L109" s="60" t="str">
        <x:v>Peer reviewed but only 11 pages, broad trustworthiness scope, heterogeneous evidence, and no claim-level MAS metric/assumption audit.</x:v>
      </x:c>
      <x:c r="M109" s="60" t="str">
        <x:v>Correct author spelling from Linsey Pan to Linsey Pang. Keep survey as related work, not primary attack evidence. Do not count all cited papers as MAS security corpus.</x:v>
      </x:c>
      <x:c r="N109" s="60" t="str">
        <x:v>ready_after_major_patch</x:v>
      </x:c>
      <x:c r="O109" s="60" t="str">
        <x:v>assistant_source_reviewed_pending_author_signoff</x:v>
      </x:c>
    </x:row>
    <x:row r="110">
      <x:c r="A110" s="60" t="n">
        <x:v>109</x:v>
      </x:c>
      <x:c r="B110" s="60" t="str">
        <x:v>deng2025agentsunderthreat</x:v>
      </x:c>
      <x:c r="C110" s="60" t="str">
        <x:v>not applicable</x:v>
      </x:c>
      <x:c r="D110" s="60" t="str">
        <x:v>varies</x:v>
      </x:c>
      <x:c r="E110" s="60" t="str">
        <x:v>varies</x:v>
      </x:c>
      <x:c r="F110" s="60" t="str">
        <x:v>prior LLM and agent-security surveys</x:v>
      </x:c>
      <x:c r="G110" s="60" t="str">
        <x:v>literature coverage; no unified MAS metric</x:v>
      </x:c>
      <x:c r="H110" s="60" t="str">
        <x:v>survey corpus, not attack runs</x:v>
      </x:c>
      <x:c r="I110" s="60" t="str">
        <x:v>not applicable</x:v>
      </x:c>
      <x:c r="J110" s="60" t="str">
        <x:v>ACM CSUR abstract and taxonomy sections, 36-page article</x:v>
      </x:c>
      <x:c r="K110" s="60" t="str">
        <x:v>The four knowledge gaps are author-defined. Coding MAS as partial is corpus interpretation.</x:v>
      </x:c>
      <x:c r="L110" s="60" t="str">
        <x:v>Peer reviewed; broad scope, heterogeneous evidence, limited claim-level normalization of MAS topology, metrics, observer scope, or trust assumptions.</x:v>
      </x:c>
      <x:c r="M110" s="60" t="str">
        <x:v>Keep as general agent-security survey. Do not describe it as MAS-primary or use it as sole evidence for an attack. Add volume/issue/article metadata.</x:v>
      </x:c>
      <x:c r="N110" s="60" t="str">
        <x:v>ready_after_minor_patch</x:v>
      </x:c>
      <x:c r="O110" s="60" t="str">
        <x:v>assistant_source_reviewed_pending_author_signoff</x:v>
      </x:c>
    </x:row>
    <x:row r="111">
      <x:c r="A111" s="60" t="n">
        <x:v>110</x:v>
      </x:c>
      <x:c r="B111" s="60" t="str">
        <x:v>schroederdewitt2025openchallenges</x:v>
      </x:c>
      <x:c r="C111" s="60" t="str">
        <x:v>not applicable</x:v>
      </x:c>
      <x:c r="D111" s="60" t="str">
        <x:v>conceptual distributed and decentralized networks</x:v>
      </x:c>
      <x:c r="E111" s="60" t="str">
        <x:v>free-form direct channels and indirect shared-environment interaction</x:v>
      </x:c>
      <x:c r="F111" s="60" t="str">
        <x:v>fragmented adjacent fields and existing reports</x:v>
      </x:c>
      <x:c r="G111" s="60" t="str">
        <x:v>no unified empirical metric</x:v>
      </x:c>
      <x:c r="H111" s="60" t="str">
        <x:v>not applicable</x:v>
      </x:c>
      <x:c r="I111" s="60" t="str">
        <x:v>not empirically audited by this paper</x:v>
      </x:c>
      <x:c r="J111" s="60" t="str">
        <x:v>arXiv PDF pp. 1-3 for definition/non-compositionality; threat taxonomy, trade-off, and agenda sections throughout</x:v>
      </x:c>
      <x:c r="K111" s="60" t="str">
        <x:v>Authors explicitly call the taxonomy preliminary and adopt an anticipatory posture. It must not be presented as an exhaustive systematic corpus review.</x:v>
      </x:c>
      <x:c r="L111" s="60" t="str">
        <x:v>Preprint/evolving agenda, very broad AI-agent scope, includes structurally possible but not observed threats, no systematic screening/coding/reliability analysis.</x:v>
      </x:c>
      <x:c r="M111" s="60" t="str">
        <x:v>Replace 'Christian Schroeder de Witt et al.' in canonical metadata with the full 24-author list. Upgrade scope to core multi-agent security. Explicitly label as anticipatory agenda, not empirical prevalence evidence.</x:v>
      </x:c>
      <x:c r="N111" s="60" t="str">
        <x:v>ready_after_major_patch</x:v>
      </x:c>
      <x:c r="O111" s="60" t="str">
        <x:v>assistant_source_reviewed_pending_author_signoff</x:v>
      </x:c>
    </x:row>
    <x:row r="112">
      <x:c r="A112" s="60" t="n">
        <x:v>111</x:v>
      </x:c>
      <x:c r="B112" s="60" t="str">
        <x:v>he2025emergedsecurity</x:v>
      </x:c>
      <x:c r="C112" s="60" t="str">
        <x:v>not applicable</x:v>
      </x:c>
      <x:c r="D112" s="60" t="str">
        <x:v>varies</x:v>
      </x:c>
      <x:c r="E112" s="60" t="str">
        <x:v>varies</x:v>
      </x:c>
      <x:c r="F112" s="60" t="str">
        <x:v>prior LLM/agent-security surveys</x:v>
      </x:c>
      <x:c r="G112" s="60" t="str">
        <x:v>case-specific; no unified MAS evaluation contract</x:v>
      </x:c>
      <x:c r="H112" s="60" t="str">
        <x:v>survey/case-study dependent</x:v>
      </x:c>
      <x:c r="I112" s="60" t="str">
        <x:v>not applicable as a unified result</x:v>
      </x:c>
      <x:c r="J112" s="60" t="str">
        <x:v>Published ACM CSUR Abstract, taxonomy, case-study, defense, and future-work sections</x:v>
      </x:c>
      <x:c r="K112" s="60" t="str">
        <x:v>The survey-plus-case-study contribution is explicit. Classifying it as broader than MAS is corpus interpretation.</x:v>
      </x:c>
      <x:c r="L112" s="60" t="str">
        <x:v>Peer reviewed; heterogeneous case evidence, broad component scope, no dedicated claim-level MAS corpus audit, and no uniform denominator.</x:v>
      </x:c>
      <x:c r="M112" s="60" t="str">
        <x:v>Add final volume/issue/article metadata. Keep MAS as partial. Do not use survey case studies as primary evidence for attack efficacy or prevalence.</x:v>
      </x:c>
      <x:c r="N112" s="60" t="str">
        <x:v>ready_after_minor_patch</x:v>
      </x:c>
      <x:c r="O112" s="60" t="str">
        <x:v>assistant_source_reviewed_pending_author_signoff</x:v>
      </x:c>
    </x:row>
    <x:row r="113">
      <x:c r="A113" s="60" t="n">
        <x:v>112</x:v>
      </x:c>
      <x:c r="B113" s="60" t="str">
        <x:v>ko2026sevenchallenges</x:v>
      </x:c>
      <x:c r="C113" s="60" t="str">
        <x:v>not applicable</x:v>
      </x:c>
      <x:c r="D113" s="60" t="str">
        <x:v>conceptual cross-organization systems</x:v>
      </x:c>
      <x:c r="E113" s="60" t="str">
        <x:v>cross-domain protocols and shared context</x:v>
      </x:c>
      <x:c r="F113" s="60" t="str">
        <x:v>single-domain controls and related agent-security work</x:v>
      </x:c>
      <x:c r="G113" s="60" t="str">
        <x:v>proposed challenge-specific evaluation metrics, not one standardized benchmark metric</x:v>
      </x:c>
      <x:c r="H113" s="60" t="str">
        <x:v>not applicable</x:v>
      </x:c>
      <x:c r="I113" s="60" t="str">
        <x:v>conceptual only</x:v>
      </x:c>
      <x:c r="J113" s="60" t="str">
        <x:v>Nature Perspective Abstract and seven challenge sections; published article metadata</x:v>
      </x:c>
      <x:c r="K113" s="60" t="str">
        <x:v>Authors explicitly present seven challenges and plausible evaluation metrics. Treating them as established empirical attack classes would overstate the paper.</x:v>
      </x:c>
      <x:c r="L113" s="60" t="str">
        <x:v>Peer reviewed Perspective/early access, short conceptual format, cross-domain-specific scope, no systematic corpus or experiments.</x:v>
      </x:c>
      <x:c r="M113" s="60" t="str">
        <x:v>Upgrade scope from merely security-relevant to core MAS security. Label Perspective and unedited early-access status. Do not count plausible attacks as empirical evidence.</x:v>
      </x:c>
      <x:c r="N113" s="60" t="str">
        <x:v>ready_after_major_patch</x:v>
      </x:c>
      <x:c r="O113" s="60" t="str">
        <x:v>assistant_source_reviewed_pending_author_signoff</x:v>
      </x:c>
    </x:row>
    <x:row r="114">
      <x:c r="A114" s="60" t="n">
        <x:v>113</x:v>
      </x:c>
      <x:c r="B114" s="60" t="str">
        <x:v>kim2026agenticai</x:v>
      </x:c>
      <x:c r="C114" s="60" t="str">
        <x:v>not applicable</x:v>
      </x:c>
      <x:c r="D114" s="60" t="str">
        <x:v>MAS appears incidentally; no interaction-primary corpus topology audit</x:v>
      </x:c>
      <x:c r="E114" s="60" t="str">
        <x:v>varies across cited work</x:v>
      </x:c>
      <x:c r="F114" s="60" t="str">
        <x:v>prior LLM and agent-security surveys</x:v>
      </x:c>
      <x:c r="G114" s="60" t="str">
        <x:v>corpus/taxonomy coverage; no common attack metric</x:v>
      </x:c>
      <x:c r="H114" s="60" t="str">
        <x:v>literature papers/claims</x:v>
      </x:c>
      <x:c r="I114" s="60" t="str">
        <x:v>not applicable</x:v>
      </x:c>
      <x:c r="J114" s="60" t="str">
        <x:v>USENIX official page and prepublication PDF; overview/system-model/attack/defense sections</x:v>
      </x:c>
      <x:c r="K114" s="60" t="str">
        <x:v>Authors explicitly claim a comprehensive agentic-AI security systematization. Calling it component-centric and MAS-secondary is comparative corpus interpretation that should be backed by table/content coding.</x:v>
      </x:c>
      <x:c r="L114" s="60" t="str">
        <x:v>Peer-reviewed SoK; broad agentic scope, MAS not primary, no dedicated interaction-property/observer-scope/metric-denominator audit.</x:v>
      </x:c>
      <x:c r="M114" s="60" t="str">
        <x:v>Do not describe Kim as simply single-agent; it includes MAS partially. Position the gap as different unit of analysis, not absence. Keep exact USENIX status and avoid invented MAS percentage unless measured.</x:v>
      </x:c>
      <x:c r="N114" s="60" t="str">
        <x:v>ready_after_minor_patch</x:v>
      </x:c>
      <x:c r="O114" s="60" t="str">
        <x:v>assistant_source_reviewed_pending_author_signoff</x:v>
      </x:c>
    </x:row>
    <x:row r="115">
      <x:c r="A115" s="60" t="n">
        <x:v>114</x:v>
      </x:c>
      <x:c r="B115" s="60" t="str">
        <x:v>raza2026trism</x:v>
      </x:c>
      <x:c r="C115" s="60" t="str">
        <x:v>not applicable</x:v>
      </x:c>
      <x:c r="D115" s="60" t="str">
        <x:v>varies</x:v>
      </x:c>
      <x:c r="E115" s="60" t="str">
        <x:v>varies</x:v>
      </x:c>
      <x:c r="F115" s="60" t="str">
        <x:v>generic AI TRiSM and agentic-AI reviews</x:v>
      </x:c>
      <x:c r="G115" s="60" t="str">
        <x:v>conceptual Component Synergy Score and Tool Utilization Efficacy; no unified security benchmark</x:v>
      </x:c>
      <x:c r="H115" s="60" t="str">
        <x:v>conceptual/review-level</x:v>
      </x:c>
      <x:c r="I115" s="60" t="str">
        <x:v>not applicable</x:v>
      </x:c>
      <x:c r="J115" s="60" t="str">
        <x:v>AI Open Abstract and framework/metrics sections, pp. 71-95</x:v>
      </x:c>
      <x:c r="K115" s="60" t="str">
        <x:v>The five TRiSM pillars and CSS/TUE concepts are explicit. Coding it as governance-primary rather than a technical attack/defense SoK is comparative interpretation.</x:v>
      </x:c>
      <x:c r="L115" s="60" t="str">
        <x:v>Peer reviewed but broad governance scope, conceptual metrics, heterogeneous evidence, and limited claim-level analysis of interaction-specific failures.</x:v>
      </x:c>
      <x:c r="M115" s="60" t="str">
        <x:v>Use final AI Open metadata and merge arXiv. Keep security-relevant rather than pure technical security. Do not treat CSS/TUE as standardized empirical security metrics.</x:v>
      </x:c>
      <x:c r="N115" s="60" t="str">
        <x:v>ready_after_minor_patch</x:v>
      </x:c>
      <x:c r="O115" s="60" t="str">
        <x:v>assistant_source_reviewed_pending_author_signoff</x:v>
      </x:c>
    </x:row>
  </x:sheetData>
  <x:pageMargins left="0.7" right="0.7" top="0.75" bottom="0.75" header="0.3" footer="0.3"/>
  <x:tableParts count="1">
    <x:tablePart xmlns:r="http://schemas.openxmlformats.org/officeDocument/2006/relationships" r:id="R46c9bf2449724f60"/>
  </x:tableParts>
</x:worksheet>
</file>

<file path=xl/worksheets/sheet6.xml><?xml version="1.0" encoding="utf-8"?>
<x:worksheet xmlns:x="http://schemas.openxmlformats.org/spreadsheetml/2006/main">
  <x:sheetFormatPr defaultRowHeight="15"/>
  <x:cols>
    <x:col min="1" max="1" width="12" hidden="0" customWidth="1"/>
    <x:col min="2" max="2" width="9" hidden="0" customWidth="1"/>
    <x:col min="3" max="3" width="25" hidden="0" customWidth="1"/>
    <x:col min="4" max="4" width="46" hidden="0" customWidth="1"/>
    <x:col min="5" max="5" width="16" hidden="0" customWidth="1"/>
    <x:col min="6" max="6" width="28" hidden="0" customWidth="1"/>
    <x:col min="7" max="7" width="40" hidden="0" customWidth="1"/>
    <x:col min="8" max="8" width="60" hidden="0" customWidth="1"/>
    <x:col min="9" max="9" width="55" hidden="0" customWidth="1"/>
    <x:col min="10" max="10" width="55" hidden="0" customWidth="1"/>
    <x:col min="11" max="11" width="18" hidden="0" customWidth="1"/>
  </x:cols>
  <x:sheetData>
    <x:row r="1" ht="34" customHeight="1">
      <x:c r="A1" s="53" t="str">
        <x:v>Severity</x:v>
      </x:c>
      <x:c r="B1" s="53" t="str">
        <x:v>Priority</x:v>
      </x:c>
      <x:c r="C1" s="53" t="str">
        <x:v>Paper ID</x:v>
      </x:c>
      <x:c r="D1" s="53" t="str">
        <x:v>Title</x:v>
      </x:c>
      <x:c r="E1" s="53" t="str">
        <x:v>Track</x:v>
      </x:c>
      <x:c r="F1" s="53" t="str">
        <x:v>Field / Category</x:v>
      </x:c>
      <x:c r="G1" s="53" t="str">
        <x:v>Current Coding</x:v>
      </x:c>
      <x:c r="H1" s="53" t="str">
        <x:v>Recommended Correction</x:v>
      </x:c>
      <x:c r="I1" s="53" t="str">
        <x:v>Rationale</x:v>
      </x:c>
      <x:c r="J1" s="53" t="str">
        <x:v>Evidence Source</x:v>
      </x:c>
      <x:c r="K1" s="53" t="str">
        <x:v>Author Signoff Required</x:v>
      </x:c>
    </x:row>
    <x:row r="2">
      <x:c r="A2" s="60" t="str">
        <x:v>medium</x:v>
      </x:c>
      <x:c r="B2" s="60" t="n">
        <x:v>1</x:v>
      </x:c>
      <x:c r="C2" s="60" t="str">
        <x:v>gu2024agent_smith</x:v>
      </x:c>
      <x:c r="D2" s="60" t="str">
        <x:v>Agent Smith: A Single Image Can Jailbreak One Million Multimodal LLM Agents Exponentially Fast</x:v>
      </x:c>
      <x:c r="E2" s="60" t="str">
        <x:v>load_bearing</x:v>
      </x:c>
      <x:c r="F2" s="60" t="str">
        <x:v>Result wording</x:v>
      </x:c>
      <x:c r="G2" s="60" t="str"/>
      <x:c r="H2" s="60" t="str">
        <x:v>Do not equate one million simulated agents with a real deployment or prevalence claim.</x:v>
      </x:c>
      <x:c r="I2" s="60" t="str">
        <x:v>Ready after minor patch</x:v>
      </x:c>
      <x:c r="J2" s="60" t="str">
        <x:v>https://proceedings.mlr.press/v235/gu24e.html</x:v>
      </x:c>
      <x:c r="K2" s="60" t="str">
        <x:v>yes</x:v>
      </x:c>
    </x:row>
    <x:row r="3">
      <x:c r="A3" s="60" t="str">
        <x:v>medium</x:v>
      </x:c>
      <x:c r="B3" s="60" t="n">
        <x:v>1</x:v>
      </x:c>
      <x:c r="C3" s="60" t="str">
        <x:v>gu2024agent_smith</x:v>
      </x:c>
      <x:c r="D3" s="60" t="str">
        <x:v>Agent Smith: A Single Image Can Jailbreak One Million Multimodal LLM Agents Exponentially Fast</x:v>
      </x:c>
      <x:c r="E3" s="60" t="str">
        <x:v>load_bearing</x:v>
      </x:c>
      <x:c r="F3" s="60" t="str">
        <x:v>Evidence locator</x:v>
      </x:c>
      <x:c r="G3" s="60" t="str"/>
      <x:c r="H3" s="60" t="str">
        <x:v>Replace broad abstract-only locator with exact propagation-analysis pages before citing a specific round or growth constant.</x:v>
      </x:c>
      <x:c r="I3" s="60" t="str">
        <x:v>Ready after minor patch</x:v>
      </x:c>
      <x:c r="J3" s="60" t="str">
        <x:v>https://proceedings.mlr.press/v235/gu24e.html</x:v>
      </x:c>
      <x:c r="K3" s="60" t="str">
        <x:v>yes</x:v>
      </x:c>
    </x:row>
    <x:row r="4">
      <x:c r="A4" s="60" t="str">
        <x:v>medium</x:v>
      </x:c>
      <x:c r="B4" s="60" t="n">
        <x:v>2</x:v>
      </x:c>
      <x:c r="C4" s="60" t="str">
        <x:v>motwani2024secret_collusion</x:v>
      </x:c>
      <x:c r="D4" s="60" t="str">
        <x:v>Secret Collusion among AI Agents: Multi-Agent Deception via Steganography</x:v>
      </x:c>
      <x:c r="E4" s="60" t="str">
        <x:v>load_bearing</x:v>
      </x:c>
      <x:c r="F4" s="60" t="str">
        <x:v>Primary failure</x:v>
      </x:c>
      <x:c r="G4" s="60" t="str"/>
      <x:c r="H4" s="60" t="str">
        <x:v>Use claim-level outcomes. Oversight, confidentiality, and decision integrity should not be collapsed into one paper-level label.</x:v>
      </x:c>
      <x:c r="I4" s="60" t="str">
        <x:v>Ready after minor patch</x:v>
      </x:c>
      <x:c r="J4" s="60" t="str">
        <x:v>https://proceedings.neurips.cc/paper_files/paper/2024/hash/861f7dad098aec1c3560fb7add468d41-Abstract-Conference.html</x:v>
      </x:c>
      <x:c r="K4" s="60" t="str">
        <x:v>yes</x:v>
      </x:c>
    </x:row>
    <x:row r="5">
      <x:c r="A5" s="60" t="str">
        <x:v>medium</x:v>
      </x:c>
      <x:c r="B5" s="60" t="n">
        <x:v>2</x:v>
      </x:c>
      <x:c r="C5" s="60" t="str">
        <x:v>motwani2024secret_collusion</x:v>
      </x:c>
      <x:c r="D5" s="60" t="str">
        <x:v>Secret Collusion among AI Agents: Multi-Agent Deception via Steganography</x:v>
      </x:c>
      <x:c r="E5" s="60" t="str">
        <x:v>load_bearing</x:v>
      </x:c>
      <x:c r="F5" s="60" t="str">
        <x:v>Metric coding</x:v>
      </x:c>
      <x:c r="G5" s="60" t="str"/>
      <x:c r="H5" s="60" t="str">
        <x:v>Record each metric and denominator separately rather than a generic covert-communication ASR.</x:v>
      </x:c>
      <x:c r="I5" s="60" t="str">
        <x:v>Ready after minor patch</x:v>
      </x:c>
      <x:c r="J5" s="60" t="str">
        <x:v>https://proceedings.neurips.cc/paper_files/paper/2024/hash/861f7dad098aec1c3560fb7add468d41-Abstract-Conference.html</x:v>
      </x:c>
      <x:c r="K5" s="60" t="str">
        <x:v>yes</x:v>
      </x:c>
    </x:row>
    <x:row r="6">
      <x:c r="A6" s="60" t="str">
        <x:v>high</x:v>
      </x:c>
      <x:c r="B6" s="60" t="n">
        <x:v>3</x:v>
      </x:c>
      <x:c r="C6" s="60" t="str">
        <x:v>men2025troublemaker</x:v>
      </x:c>
      <x:c r="D6" s="60" t="str">
        <x:v>A Troublemaker with Contagious Jailbreak Makes Chaos in Honest Towns</x:v>
      </x:c>
      <x:c r="E6" s="60" t="str">
        <x:v>load_bearing</x:v>
      </x:c>
      <x:c r="F6" s="60" t="str">
        <x:v>Metric denominator</x:v>
      </x:c>
      <x:c r="G6" s="60" t="str"/>
      <x:c r="H6" s="60" t="str">
        <x:v>Replace generic attack success with the paper's agent-question and round-specific definition.</x:v>
      </x:c>
      <x:c r="I6" s="60" t="str">
        <x:v>Ready after minor patch</x:v>
      </x:c>
      <x:c r="J6" s="60" t="str">
        <x:v>https://aclanthology.org/2025.acl-long.859/</x:v>
      </x:c>
      <x:c r="K6" s="60" t="str">
        <x:v>yes</x:v>
      </x:c>
    </x:row>
    <x:row r="7">
      <x:c r="A7" s="60" t="str">
        <x:v>medium</x:v>
      </x:c>
      <x:c r="B7" s="60" t="n">
        <x:v>3</x:v>
      </x:c>
      <x:c r="C7" s="60" t="str">
        <x:v>men2025troublemaker</x:v>
      </x:c>
      <x:c r="D7" s="60" t="str">
        <x:v>A Troublemaker with Contagious Jailbreak Makes Chaos in Honest Towns</x:v>
      </x:c>
      <x:c r="E7" s="60" t="str">
        <x:v>load_bearing</x:v>
      </x:c>
      <x:c r="F7" s="60" t="str">
        <x:v>Result wording</x:v>
      </x:c>
      <x:c r="G7" s="60" t="str"/>
      <x:c r="H7" s="60" t="str">
        <x:v>Report the three improvements exactly as authors report them; do not call them percentage points without table support.</x:v>
      </x:c>
      <x:c r="I7" s="60" t="str">
        <x:v>Ready after minor patch</x:v>
      </x:c>
      <x:c r="J7" s="60" t="str">
        <x:v>https://aclanthology.org/2025.acl-long.859/</x:v>
      </x:c>
      <x:c r="K7" s="60" t="str">
        <x:v>yes</x:v>
      </x:c>
    </x:row>
    <x:row r="8">
      <x:c r="A8" s="60" t="str">
        <x:v>critical</x:v>
      </x:c>
      <x:c r="B8" s="60" t="n">
        <x:v>4</x:v>
      </x:c>
      <x:c r="C8" s="60" t="str">
        <x:v>cohen2025ai_worm</x:v>
      </x:c>
      <x:c r="D8" s="60" t="str">
        <x:v>Here Comes the AI Worm: Preventing the Propagation of Adversarial Self-Replicating Prompts Within GenAI Ecosystems</x:v>
      </x:c>
      <x:c r="E8" s="60" t="str">
        <x:v>load_bearing</x:v>
      </x:c>
      <x:c r="F8" s="60" t="str">
        <x:v>Canonical version</x:v>
      </x:c>
      <x:c r="G8" s="60" t="str"/>
      <x:c r="H8" s="60" t="str">
        <x:v>Replace preprint title and Morris-II terminology with the final CCS title and final names; retain the preprint only as a linked version.</x:v>
      </x:c>
      <x:c r="I8" s="60" t="str">
        <x:v>Ready after major patch</x:v>
      </x:c>
      <x:c r="J8" s="60" t="str">
        <x:v>https://doi.org/10.1145/3719027.3765196</x:v>
      </x:c>
      <x:c r="K8" s="60" t="str">
        <x:v>yes</x:v>
      </x:c>
    </x:row>
    <x:row r="9">
      <x:c r="A9" s="60" t="str">
        <x:v>critical</x:v>
      </x:c>
      <x:c r="B9" s="60" t="n">
        <x:v>4</x:v>
      </x:c>
      <x:c r="C9" s="60" t="str">
        <x:v>cohen2025ai_worm</x:v>
      </x:c>
      <x:c r="D9" s="60" t="str">
        <x:v>Here Comes the AI Worm: Preventing the Propagation of Adversarial Self-Replicating Prompts Within GenAI Ecosystems</x:v>
      </x:c>
      <x:c r="E9" s="60" t="str">
        <x:v>load_bearing</x:v>
      </x:c>
      <x:c r="F9" s="60" t="str">
        <x:v>Metrics</x:v>
      </x:c>
      <x:c r="G9" s="60" t="str"/>
      <x:c r="H9" s="60" t="str">
        <x:v>Use final-paper FPR 0.017 and final latency/result tables. Do not mix preprint FPR 0.015.</x:v>
      </x:c>
      <x:c r="I9" s="60" t="str">
        <x:v>Ready after major patch</x:v>
      </x:c>
      <x:c r="J9" s="60" t="str">
        <x:v>https://doi.org/10.1145/3719027.3765196</x:v>
      </x:c>
      <x:c r="K9" s="60" t="str">
        <x:v>yes</x:v>
      </x:c>
    </x:row>
    <x:row r="10">
      <x:c r="A10" s="60" t="str">
        <x:v>high</x:v>
      </x:c>
      <x:c r="B10" s="60" t="n">
        <x:v>4</x:v>
      </x:c>
      <x:c r="C10" s="60" t="str">
        <x:v>cohen2025ai_worm</x:v>
      </x:c>
      <x:c r="D10" s="60" t="str">
        <x:v>Here Comes the AI Worm: Preventing the Propagation of Adversarial Self-Replicating Prompts Within GenAI Ecosystems</x:v>
      </x:c>
      <x:c r="E10" s="60" t="str">
        <x:v>load_bearing</x:v>
      </x:c>
      <x:c r="F10" s="60" t="str">
        <x:v>Scope relation</x:v>
      </x:c>
      <x:c r="G10" s="60" t="str"/>
      <x:c r="H10" s="60" t="str">
        <x:v>Downgrade from core_security to security_relevant under the independent LLM-agent-core boundary.</x:v>
      </x:c>
      <x:c r="I10" s="60" t="str">
        <x:v>Ready after major patch</x:v>
      </x:c>
      <x:c r="J10" s="60" t="str">
        <x:v>https://doi.org/10.1145/3719027.3765196</x:v>
      </x:c>
      <x:c r="K10" s="60" t="str">
        <x:v>yes</x:v>
      </x:c>
    </x:row>
    <x:row r="11">
      <x:c r="A11" s="60" t="str">
        <x:v>critical</x:v>
      </x:c>
      <x:c r="B11" s="60" t="n">
        <x:v>5</x:v>
      </x:c>
      <x:c r="C11" s="60" t="str">
        <x:v>ju2026flooding</x:v>
      </x:c>
      <x:c r="D11" s="60" t="str">
        <x:v>Flooding Spread of Manipulated Knowledge in LLM-Based Multi-Agent Communities</x:v>
      </x:c>
      <x:c r="E11" s="60" t="str">
        <x:v>load_bearing</x:v>
      </x:c>
      <x:c r="F11" s="60" t="str">
        <x:v>Author list</x:v>
      </x:c>
      <x:c r="G11" s="60" t="str"/>
      <x:c r="H11" s="60" t="str">
        <x:v>Resolve the final journal author list from the publisher PDF before updating papers.csv.</x:v>
      </x:c>
      <x:c r="I11" s="60" t="str">
        <x:v>Pending final source verification</x:v>
      </x:c>
      <x:c r="J11" s="60" t="str">
        <x:v>https://doi.org/10.1007/s11432-024-4663-2</x:v>
      </x:c>
      <x:c r="K11" s="60" t="str">
        <x:v>yes</x:v>
      </x:c>
    </x:row>
    <x:row r="12">
      <x:c r="A12" s="60" t="str">
        <x:v>critical</x:v>
      </x:c>
      <x:c r="B12" s="60" t="n">
        <x:v>5</x:v>
      </x:c>
      <x:c r="C12" s="60" t="str">
        <x:v>ju2026flooding</x:v>
      </x:c>
      <x:c r="D12" s="60" t="str">
        <x:v>Flooding Spread of Manipulated Knowledge in LLM-Based Multi-Agent Communities</x:v>
      </x:c>
      <x:c r="E12" s="60" t="str">
        <x:v>load_bearing</x:v>
      </x:c>
      <x:c r="F12" s="60" t="str">
        <x:v>Evidence locators</x:v>
      </x:c>
      <x:c r="G12" s="60" t="str"/>
      <x:c r="H12" s="60" t="str">
        <x:v>Replace accessible-version locators with final journal page and table locations.</x:v>
      </x:c>
      <x:c r="I12" s="60" t="str">
        <x:v>Pending final source verification</x:v>
      </x:c>
      <x:c r="J12" s="60" t="str">
        <x:v>https://doi.org/10.1007/s11432-024-4663-2</x:v>
      </x:c>
      <x:c r="K12" s="60" t="str">
        <x:v>yes</x:v>
      </x:c>
    </x:row>
    <x:row r="13">
      <x:c r="A13" s="60" t="str">
        <x:v>high</x:v>
      </x:c>
      <x:c r="B13" s="60" t="n">
        <x:v>5</x:v>
      </x:c>
      <x:c r="C13" s="60" t="str">
        <x:v>ju2026flooding</x:v>
      </x:c>
      <x:c r="D13" s="60" t="str">
        <x:v>Flooding Spread of Manipulated Knowledge in LLM-Based Multi-Agent Communities</x:v>
      </x:c>
      <x:c r="E13" s="60" t="str">
        <x:v>load_bearing</x:v>
      </x:c>
      <x:c r="F13" s="60" t="str">
        <x:v>Attacker model</x:v>
      </x:c>
      <x:c r="G13" s="60" t="str"/>
      <x:c r="H13" s="60" t="str">
        <x:v>Do not describe this as only an external runtime message attacker; the attack includes predeployment model manipulation.</x:v>
      </x:c>
      <x:c r="I13" s="60" t="str">
        <x:v>Pending final source verification</x:v>
      </x:c>
      <x:c r="J13" s="60" t="str">
        <x:v>https://doi.org/10.1007/s11432-024-4663-2</x:v>
      </x:c>
      <x:c r="K13" s="60" t="str">
        <x:v>yes</x:v>
      </x:c>
    </x:row>
    <x:row r="14">
      <x:c r="A14" s="60" t="str">
        <x:v>critical</x:v>
      </x:c>
      <x:c r="B14" s="60" t="n">
        <x:v>6</x:v>
      </x:c>
      <x:c r="C14" s="60" t="str">
        <x:v>wang2025gsafeguard</x:v>
      </x:c>
      <x:c r="D14" s="60" t="str">
        <x:v>G-Safeguard: A Topology-Guided Security Lens and Treatment on LLM-based Multi-agent Systems</x:v>
      </x:c>
      <x:c r="E14" s="60" t="str">
        <x:v>load_bearing</x:v>
      </x:c>
      <x:c r="F14" s="60" t="str">
        <x:v>Primary category</x:v>
      </x:c>
      <x:c r="G14" s="60" t="str"/>
      <x:c r="H14" s="60" t="str">
        <x:v>Change from attack to defense/evaluation with attack analysis as a secondary role.</x:v>
      </x:c>
      <x:c r="I14" s="60" t="str">
        <x:v>Ready after major patch</x:v>
      </x:c>
      <x:c r="J14" s="60" t="str">
        <x:v>https://aclanthology.org/2025.acl-long.359/</x:v>
      </x:c>
      <x:c r="K14" s="60" t="str">
        <x:v>yes</x:v>
      </x:c>
    </x:row>
    <x:row r="15">
      <x:c r="A15" s="60" t="str">
        <x:v>high</x:v>
      </x:c>
      <x:c r="B15" s="60" t="n">
        <x:v>6</x:v>
      </x:c>
      <x:c r="C15" s="60" t="str">
        <x:v>wang2025gsafeguard</x:v>
      </x:c>
      <x:c r="D15" s="60" t="str">
        <x:v>G-Safeguard: A Topology-Guided Security Lens and Treatment on LLM-based Multi-agent Systems</x:v>
      </x:c>
      <x:c r="E15" s="60" t="str">
        <x:v>load_bearing</x:v>
      </x:c>
      <x:c r="F15" s="60" t="str">
        <x:v>Guarantee language</x:v>
      </x:c>
      <x:c r="G15" s="60" t="str"/>
      <x:c r="H15" s="60" t="str">
        <x:v>Describe empirical recovery under evaluated assumptions, not a general security guarantee.</x:v>
      </x:c>
      <x:c r="I15" s="60" t="str">
        <x:v>Ready after major patch</x:v>
      </x:c>
      <x:c r="J15" s="60" t="str">
        <x:v>https://aclanthology.org/2025.acl-long.359/</x:v>
      </x:c>
      <x:c r="K15" s="60" t="str">
        <x:v>yes</x:v>
      </x:c>
    </x:row>
    <x:row r="16">
      <x:c r="A16" s="60" t="str">
        <x:v>high</x:v>
      </x:c>
      <x:c r="B16" s="60" t="n">
        <x:v>6</x:v>
      </x:c>
      <x:c r="C16" s="60" t="str">
        <x:v>wang2025gsafeguard</x:v>
      </x:c>
      <x:c r="D16" s="60" t="str">
        <x:v>G-Safeguard: A Topology-Guided Security Lens and Treatment on LLM-based Multi-agent Systems</x:v>
      </x:c>
      <x:c r="E16" s="60" t="str">
        <x:v>load_bearing</x:v>
      </x:c>
      <x:c r="F16" s="60" t="str">
        <x:v>Observer assumptions</x:v>
      </x:c>
      <x:c r="G16" s="60" t="str"/>
      <x:c r="H16" s="60" t="str">
        <x:v>Record complete or reconstructable utterance graph and topology-control authority.</x:v>
      </x:c>
      <x:c r="I16" s="60" t="str">
        <x:v>Ready after major patch</x:v>
      </x:c>
      <x:c r="J16" s="60" t="str">
        <x:v>https://aclanthology.org/2025.acl-long.359/</x:v>
      </x:c>
      <x:c r="K16" s="60" t="str">
        <x:v>yes</x:v>
      </x:c>
    </x:row>
    <x:row r="17">
      <x:c r="A17" s="60" t="str">
        <x:v>critical</x:v>
      </x:c>
      <x:c r="B17" s="60" t="n">
        <x:v>7</x:v>
      </x:c>
      <x:c r="C17" s="60" t="str">
        <x:v>yu2025netsafe</x:v>
      </x:c>
      <x:c r="D17" s="60" t="str">
        <x:v>NetSafe: Exploring the Topological Safety of Multi-agent System</x:v>
      </x:c>
      <x:c r="E17" s="60" t="str">
        <x:v>load_bearing</x:v>
      </x:c>
      <x:c r="F17" s="60" t="str">
        <x:v>Primary category</x:v>
      </x:c>
      <x:c r="G17" s="60" t="str"/>
      <x:c r="H17" s="60" t="str">
        <x:v>Change from attack to benchmark/evaluation.</x:v>
      </x:c>
      <x:c r="I17" s="60" t="str">
        <x:v>Ready after major patch</x:v>
      </x:c>
      <x:c r="J17" s="60" t="str">
        <x:v>https://aclanthology.org/2025.findings-acl.150/</x:v>
      </x:c>
      <x:c r="K17" s="60" t="str">
        <x:v>yes</x:v>
      </x:c>
    </x:row>
    <x:row r="18">
      <x:c r="A18" s="60" t="str">
        <x:v>critical</x:v>
      </x:c>
      <x:c r="B18" s="60" t="n">
        <x:v>7</x:v>
      </x:c>
      <x:c r="C18" s="60" t="str">
        <x:v>yu2025netsafe</x:v>
      </x:c>
      <x:c r="D18" s="60" t="str">
        <x:v>NetSafe: Exploring the Topological Safety of Multi-agent System</x:v>
      </x:c>
      <x:c r="E18" s="60" t="str">
        <x:v>load_bearing</x:v>
      </x:c>
      <x:c r="F18" s="60" t="str">
        <x:v>Scope relation</x:v>
      </x:c>
      <x:c r="G18" s="60" t="str"/>
      <x:c r="H18" s="60" t="str">
        <x:v>Use claim-level screening; paper-level core_security overstates broad safety and reliability content.</x:v>
      </x:c>
      <x:c r="I18" s="60" t="str">
        <x:v>Ready after major patch</x:v>
      </x:c>
      <x:c r="J18" s="60" t="str">
        <x:v>https://aclanthology.org/2025.findings-acl.150/</x:v>
      </x:c>
      <x:c r="K18" s="60" t="str">
        <x:v>yes</x:v>
      </x:c>
    </x:row>
    <x:row r="19">
      <x:c r="A19" s="60" t="str">
        <x:v>high</x:v>
      </x:c>
      <x:c r="B19" s="60" t="n">
        <x:v>7</x:v>
      </x:c>
      <x:c r="C19" s="60" t="str">
        <x:v>yu2025netsafe</x:v>
      </x:c>
      <x:c r="D19" s="60" t="str">
        <x:v>NetSafe: Exploring the Topological Safety of Multi-agent System</x:v>
      </x:c>
      <x:c r="E19" s="60" t="str">
        <x:v>load_bearing</x:v>
      </x:c>
      <x:c r="F19" s="60" t="str">
        <x:v>Result wording</x:v>
      </x:c>
      <x:c r="G19" s="60" t="str"/>
      <x:c r="H19" s="60" t="str">
        <x:v>Label 29.7% as a setting-specific relative performance decrease.</x:v>
      </x:c>
      <x:c r="I19" s="60" t="str">
        <x:v>Ready after major patch</x:v>
      </x:c>
      <x:c r="J19" s="60" t="str">
        <x:v>https://aclanthology.org/2025.findings-acl.150/</x:v>
      </x:c>
      <x:c r="K19" s="60" t="str">
        <x:v>yes</x:v>
      </x:c>
    </x:row>
    <x:row r="20">
      <x:c r="A20" s="60" t="str">
        <x:v>high</x:v>
      </x:c>
      <x:c r="B20" s="60" t="n">
        <x:v>8</x:v>
      </x:c>
      <x:c r="C20" s="60" t="str">
        <x:v>zhou2026corba</x:v>
      </x:c>
      <x:c r="D20" s="60" t="str">
        <x:v>CORBA: Contagious Recursive Blocking Attacks on Multi-Agent Systems Based on Large Language Models</x:v>
      </x:c>
      <x:c r="E20" s="60" t="str">
        <x:v>load_bearing</x:v>
      </x:c>
      <x:c r="F20" s="60" t="str">
        <x:v>Primary failure</x:v>
      </x:c>
      <x:c r="G20" s="60" t="str"/>
      <x:c r="H20" s="60" t="str">
        <x:v>Use availability/resource boundedness, not behavioral infection, as the primary failure.</x:v>
      </x:c>
      <x:c r="I20" s="60" t="str">
        <x:v>Ready after minor patch</x:v>
      </x:c>
      <x:c r="J20" s="60" t="str">
        <x:v>https://aclanthology.org/2026.findings-acl.342/</x:v>
      </x:c>
      <x:c r="K20" s="60" t="str">
        <x:v>yes</x:v>
      </x:c>
    </x:row>
    <x:row r="21">
      <x:c r="A21" s="60" t="str">
        <x:v>high</x:v>
      </x:c>
      <x:c r="B21" s="60" t="n">
        <x:v>8</x:v>
      </x:c>
      <x:c r="C21" s="60" t="str">
        <x:v>zhou2026corba</x:v>
      </x:c>
      <x:c r="D21" s="60" t="str">
        <x:v>CORBA: Contagious Recursive Blocking Attacks on Multi-Agent Systems Based on Large Language Models</x:v>
      </x:c>
      <x:c r="E21" s="60" t="str">
        <x:v>load_bearing</x:v>
      </x:c>
      <x:c r="F21" s="60" t="str">
        <x:v>Metric denominator</x:v>
      </x:c>
      <x:c r="G21" s="60" t="str"/>
      <x:c r="H21" s="60" t="str">
        <x:v>Record P-ASR explicitly as blocked agents over network population.</x:v>
      </x:c>
      <x:c r="I21" s="60" t="str">
        <x:v>Ready after minor patch</x:v>
      </x:c>
      <x:c r="J21" s="60" t="str">
        <x:v>https://aclanthology.org/2026.findings-acl.342/</x:v>
      </x:c>
      <x:c r="K21" s="60" t="str">
        <x:v>yes</x:v>
      </x:c>
    </x:row>
    <x:row r="22">
      <x:c r="A22" s="60" t="str">
        <x:v>medium</x:v>
      </x:c>
      <x:c r="B22" s="60" t="n">
        <x:v>8</x:v>
      </x:c>
      <x:c r="C22" s="60" t="str">
        <x:v>zhou2026corba</x:v>
      </x:c>
      <x:c r="D22" s="60" t="str">
        <x:v>CORBA: Contagious Recursive Blocking Attacks on Multi-Agent Systems Based on Large Language Models</x:v>
      </x:c>
      <x:c r="E22" s="60" t="str">
        <x:v>load_bearing</x:v>
      </x:c>
      <x:c r="F22" s="60" t="str">
        <x:v>Cross-paper comparison</x:v>
      </x:c>
      <x:c r="G22" s="60" t="str"/>
      <x:c r="H22" s="60" t="str">
        <x:v>Do not compare P-ASR directly with harmful-output ASR.</x:v>
      </x:c>
      <x:c r="I22" s="60" t="str">
        <x:v>Ready after minor patch</x:v>
      </x:c>
      <x:c r="J22" s="60" t="str">
        <x:v>https://aclanthology.org/2026.findings-acl.342/</x:v>
      </x:c>
      <x:c r="K22" s="60" t="str">
        <x:v>yes</x:v>
      </x:c>
    </x:row>
    <x:row r="23">
      <x:c r="A23" s="60" t="str">
        <x:v>critical</x:v>
      </x:c>
      <x:c r="B23" s="60" t="n">
        <x:v>9</x:v>
      </x:c>
      <x:c r="C23" s="60" t="str">
        <x:v>mathew2025hidden</x:v>
      </x:c>
      <x:c r="D23" s="60" t="str">
        <x:v>Hidden in Plain Text: Emergence and Mitigation of Steganographic Collusion in LLMs</x:v>
      </x:c>
      <x:c r="E23" s="60" t="str">
        <x:v>load_bearing</x:v>
      </x:c>
      <x:c r="F23" s="60" t="str">
        <x:v>Primary category</x:v>
      </x:c>
      <x:c r="G23" s="60" t="str"/>
      <x:c r="H23" s="60" t="str">
        <x:v>Change from attack to mixed security evaluation and attack/defense elicitation.</x:v>
      </x:c>
      <x:c r="I23" s="60" t="str">
        <x:v>Ready after major patch</x:v>
      </x:c>
      <x:c r="J23" s="60" t="str">
        <x:v>https://aclanthology.org/2025.ijcnlp-long.34/</x:v>
      </x:c>
      <x:c r="K23" s="60" t="str">
        <x:v>yes</x:v>
      </x:c>
    </x:row>
    <x:row r="24">
      <x:c r="A24" s="60" t="str">
        <x:v>high</x:v>
      </x:c>
      <x:c r="B24" s="60" t="n">
        <x:v>9</x:v>
      </x:c>
      <x:c r="C24" s="60" t="str">
        <x:v>mathew2025hidden</x:v>
      </x:c>
      <x:c r="D24" s="60" t="str">
        <x:v>Hidden in Plain Text: Emergence and Mitigation of Steganographic Collusion in LLMs</x:v>
      </x:c>
      <x:c r="E24" s="60" t="str">
        <x:v>load_bearing</x:v>
      </x:c>
      <x:c r="F24" s="60" t="str">
        <x:v>Metric coding</x:v>
      </x:c>
      <x:c r="G24" s="60" t="str"/>
      <x:c r="H24" s="60" t="str">
        <x:v>Store each collusion and oversight metric separately.</x:v>
      </x:c>
      <x:c r="I24" s="60" t="str">
        <x:v>Ready after major patch</x:v>
      </x:c>
      <x:c r="J24" s="60" t="str">
        <x:v>https://aclanthology.org/2025.ijcnlp-long.34/</x:v>
      </x:c>
      <x:c r="K24" s="60" t="str">
        <x:v>yes</x:v>
      </x:c>
    </x:row>
    <x:row r="25">
      <x:c r="A25" s="60" t="str">
        <x:v>high</x:v>
      </x:c>
      <x:c r="B25" s="60" t="n">
        <x:v>9</x:v>
      </x:c>
      <x:c r="C25" s="60" t="str">
        <x:v>mathew2025hidden</x:v>
      </x:c>
      <x:c r="D25" s="60" t="str">
        <x:v>Hidden in Plain Text: Emergence and Mitigation of Steganographic Collusion in LLMs</x:v>
      </x:c>
      <x:c r="E25" s="60" t="str">
        <x:v>load_bearing</x:v>
      </x:c>
      <x:c r="F25" s="60" t="str">
        <x:v>Maturity wording</x:v>
      </x:c>
      <x:c r="G25" s="60" t="str"/>
      <x:c r="H25" s="60" t="str">
        <x:v>Do not infer spontaneous real-world collusion prevalence or universal paraphrasing failure.</x:v>
      </x:c>
      <x:c r="I25" s="60" t="str">
        <x:v>Ready after major patch</x:v>
      </x:c>
      <x:c r="J25" s="60" t="str">
        <x:v>https://aclanthology.org/2025.ijcnlp-long.34/</x:v>
      </x:c>
      <x:c r="K25" s="60" t="str">
        <x:v>yes</x:v>
      </x:c>
    </x:row>
    <x:row r="26">
      <x:c r="A26" s="60" t="str">
        <x:v>medium</x:v>
      </x:c>
      <x:c r="B26" s="60" t="n">
        <x:v>10</x:v>
      </x:c>
      <x:c r="C26" s="60" t="str">
        <x:v>hu2026lying_truths</x:v>
      </x:c>
      <x:c r="D26" s="60" t="str">
        <x:v>Lying with Truths: Open-Channel Multi-Agent Collusion for Belief Manipulation via Generative Montage</x:v>
      </x:c>
      <x:c r="E26" s="60" t="str">
        <x:v>load_bearing</x:v>
      </x:c>
      <x:c r="F26" s="60" t="str">
        <x:v>Mechanism label</x:v>
      </x:c>
      <x:c r="G26" s="60" t="str"/>
      <x:c r="H26" s="60" t="str">
        <x:v>Do not label the channel covert or the fragments false; the novelty is public composition of individually true fragments.</x:v>
      </x:c>
      <x:c r="I26" s="60" t="str">
        <x:v>Ready after minor patch</x:v>
      </x:c>
      <x:c r="J26" s="60" t="str">
        <x:v>https://aclanthology.org/2026.acl-long.270/</x:v>
      </x:c>
      <x:c r="K26" s="60" t="str">
        <x:v>yes</x:v>
      </x:c>
    </x:row>
    <x:row r="27">
      <x:c r="A27" s="60" t="str">
        <x:v>medium</x:v>
      </x:c>
      <x:c r="B27" s="60" t="n">
        <x:v>10</x:v>
      </x:c>
      <x:c r="C27" s="60" t="str">
        <x:v>hu2026lying_truths</x:v>
      </x:c>
      <x:c r="D27" s="60" t="str">
        <x:v>Lying with Truths: Open-Channel Multi-Agent Collusion for Belief Manipulation via Generative Montage</x:v>
      </x:c>
      <x:c r="E27" s="60" t="str">
        <x:v>load_bearing</x:v>
      </x:c>
      <x:c r="F27" s="60" t="str">
        <x:v>Evidence locator</x:v>
      </x:c>
      <x:c r="G27" s="60" t="str"/>
      <x:c r="H27" s="60" t="str">
        <x:v>Tie ASR and downstream rates to the exact Sec. 5 tables and CoPHEME denominator.</x:v>
      </x:c>
      <x:c r="I27" s="60" t="str">
        <x:v>Ready after minor patch</x:v>
      </x:c>
      <x:c r="J27" s="60" t="str">
        <x:v>https://aclanthology.org/2026.acl-long.270/</x:v>
      </x:c>
      <x:c r="K27" s="60" t="str">
        <x:v>yes</x:v>
      </x:c>
    </x:row>
    <x:row r="28">
      <x:c r="A28" s="60" t="str">
        <x:v>critical</x:v>
      </x:c>
      <x:c r="B28" s="60" t="n">
        <x:v>11</x:v>
      </x:c>
      <x:c r="C28" s="60" t="str">
        <x:v>huang2026whispering_agents</x:v>
      </x:c>
      <x:c r="D28" s="60" t="str">
        <x:v>Whispering Agents: An Event-Driven Covert Communication Protocol for the Internet of Agents</x:v>
      </x:c>
      <x:c r="E28" s="60" t="str">
        <x:v>load_bearing</x:v>
      </x:c>
      <x:c r="F28" s="60" t="str">
        <x:v>Primary category</x:v>
      </x:c>
      <x:c r="G28" s="60" t="str"/>
      <x:c r="H28" s="60" t="str">
        <x:v>Change from attack to dual-use protocol/evaluation.</x:v>
      </x:c>
      <x:c r="I28" s="60" t="str">
        <x:v>Ready after major patch</x:v>
      </x:c>
      <x:c r="J28" s="60" t="str">
        <x:v>https://ojs.aaai.org/index.php/AAAI/article/view/40380</x:v>
      </x:c>
      <x:c r="K28" s="60" t="str">
        <x:v>yes</x:v>
      </x:c>
    </x:row>
    <x:row r="29">
      <x:c r="A29" s="60" t="str">
        <x:v>high</x:v>
      </x:c>
      <x:c r="B29" s="60" t="n">
        <x:v>11</x:v>
      </x:c>
      <x:c r="C29" s="60" t="str">
        <x:v>huang2026whispering_agents</x:v>
      </x:c>
      <x:c r="D29" s="60" t="str">
        <x:v>Whispering Agents: An Event-Driven Covert Communication Protocol for the Internet of Agents</x:v>
      </x:c>
      <x:c r="E29" s="60" t="str">
        <x:v>load_bearing</x:v>
      </x:c>
      <x:c r="F29" s="60" t="str">
        <x:v>Scope relation</x:v>
      </x:c>
      <x:c r="G29" s="60" t="str"/>
      <x:c r="H29" s="60" t="str">
        <x:v>Downgrade to security_relevant unless a claim explicitly uses the protocol for malicious coordination.</x:v>
      </x:c>
      <x:c r="I29" s="60" t="str">
        <x:v>Ready after major patch</x:v>
      </x:c>
      <x:c r="J29" s="60" t="str">
        <x:v>https://ojs.aaai.org/index.php/AAAI/article/view/40380</x:v>
      </x:c>
      <x:c r="K29" s="60" t="str">
        <x:v>yes</x:v>
      </x:c>
    </x:row>
    <x:row r="30">
      <x:c r="A30" s="60" t="str">
        <x:v>medium</x:v>
      </x:c>
      <x:c r="B30" s="60" t="n">
        <x:v>11</x:v>
      </x:c>
      <x:c r="C30" s="60" t="str">
        <x:v>huang2026whispering_agents</x:v>
      </x:c>
      <x:c r="D30" s="60" t="str">
        <x:v>Whispering Agents: An Event-Driven Covert Communication Protocol for the Internet of Agents</x:v>
      </x:c>
      <x:c r="E30" s="60" t="str">
        <x:v>load_bearing</x:v>
      </x:c>
      <x:c r="F30" s="60" t="str">
        <x:v>Canonical title</x:v>
      </x:c>
      <x:c r="G30" s="60" t="str"/>
      <x:c r="H30" s="60" t="str">
        <x:v>Use the PDF's grammatical title and record the OJS display discrepancy.</x:v>
      </x:c>
      <x:c r="I30" s="60" t="str">
        <x:v>Ready after major patch</x:v>
      </x:c>
      <x:c r="J30" s="60" t="str">
        <x:v>https://ojs.aaai.org/index.php/AAAI/article/view/40380</x:v>
      </x:c>
      <x:c r="K30" s="60" t="str">
        <x:v>yes</x:v>
      </x:c>
    </x:row>
    <x:row r="31">
      <x:c r="A31" s="60" t="str">
        <x:v>high</x:v>
      </x:c>
      <x:c r="B31" s="60" t="n">
        <x:v>12</x:v>
      </x:c>
      <x:c r="C31" s="60" t="str">
        <x:v>wang2026masleak</x:v>
      </x:c>
      <x:c r="D31" s="60" t="str">
        <x:v>MASLeak: Investigating and Exposing Intellectual Property Leakage Vulnerabilities in Multi-Agent Systems</x:v>
      </x:c>
      <x:c r="E31" s="60" t="str">
        <x:v>load_bearing</x:v>
      </x:c>
      <x:c r="F31" s="60" t="str">
        <x:v>Version linkage</x:v>
      </x:c>
      <x:c r="G31" s="60" t="str"/>
      <x:c r="H31" s="60" t="str">
        <x:v>Use USENIX title as canonical and link the arXiv title as a prior or expanded version.</x:v>
      </x:c>
      <x:c r="I31" s="60" t="str">
        <x:v>Ready after minor patch</x:v>
      </x:c>
      <x:c r="J31" s="60" t="str">
        <x:v>https://www.usenix.org/conference/usenixsecurity26/presentation/wang-liwen</x:v>
      </x:c>
      <x:c r="K31" s="60" t="str">
        <x:v>yes</x:v>
      </x:c>
    </x:row>
    <x:row r="32">
      <x:c r="A32" s="60" t="str">
        <x:v>high</x:v>
      </x:c>
      <x:c r="B32" s="60" t="n">
        <x:v>12</x:v>
      </x:c>
      <x:c r="C32" s="60" t="str">
        <x:v>wang2026masleak</x:v>
      </x:c>
      <x:c r="D32" s="60" t="str">
        <x:v>MASLeak: Investigating and Exposing Intellectual Property Leakage Vulnerabilities in Multi-Agent Systems</x:v>
      </x:c>
      <x:c r="E32" s="60" t="str">
        <x:v>load_bearing</x:v>
      </x:c>
      <x:c r="F32" s="60" t="str">
        <x:v>Open access</x:v>
      </x:c>
      <x:c r="G32" s="60" t="str"/>
      <x:c r="H32" s="60" t="str">
        <x:v>Add the arXiv PDF as the open-access URL.</x:v>
      </x:c>
      <x:c r="I32" s="60" t="str">
        <x:v>Ready after minor patch</x:v>
      </x:c>
      <x:c r="J32" s="60" t="str">
        <x:v>https://www.usenix.org/conference/usenixsecurity26/presentation/wang-liwen</x:v>
      </x:c>
      <x:c r="K32" s="60" t="str">
        <x:v>yes</x:v>
      </x:c>
    </x:row>
    <x:row r="33">
      <x:c r="A33" s="60" t="str">
        <x:v>high</x:v>
      </x:c>
      <x:c r="B33" s="60" t="n">
        <x:v>12</x:v>
      </x:c>
      <x:c r="C33" s="60" t="str">
        <x:v>wang2026masleak</x:v>
      </x:c>
      <x:c r="D33" s="60" t="str">
        <x:v>MASLeak: Investigating and Exposing Intellectual Property Leakage Vulnerabilities in Multi-Agent Systems</x:v>
      </x:c>
      <x:c r="E33" s="60" t="str">
        <x:v>load_bearing</x:v>
      </x:c>
      <x:c r="F33" s="60" t="str">
        <x:v>Metric denominator</x:v>
      </x:c>
      <x:c r="G33" s="60" t="str"/>
      <x:c r="H33" s="60" t="str">
        <x:v>Do not treat ER or all component results as one ASR.</x:v>
      </x:c>
      <x:c r="I33" s="60" t="str">
        <x:v>Ready after minor patch</x:v>
      </x:c>
      <x:c r="J33" s="60" t="str">
        <x:v>https://www.usenix.org/conference/usenixsecurity26/presentation/wang-liwen</x:v>
      </x:c>
      <x:c r="K33" s="60" t="str">
        <x:v>yes</x:v>
      </x:c>
    </x:row>
    <x:row r="34">
      <x:c r="A34" s="60" t="str">
        <x:v>critical</x:v>
      </x:c>
      <x:c r="B34" s="60" t="n">
        <x:v>13</x:v>
      </x:c>
      <x:c r="C34" s="60" t="str">
        <x:v>liu2026topology_memory</x:v>
      </x:c>
      <x:c r="D34" s="60" t="str">
        <x:v>Topology Matters: Measuring Memory Leakage in Multi-Agent LLMs</x:v>
      </x:c>
      <x:c r="E34" s="60" t="str">
        <x:v>load_bearing</x:v>
      </x:c>
      <x:c r="F34" s="60" t="str">
        <x:v>Primary category</x:v>
      </x:c>
      <x:c r="G34" s="60" t="str"/>
      <x:c r="H34" s="60" t="str">
        <x:v>Change from attack to benchmark/evaluation with an attack study role.</x:v>
      </x:c>
      <x:c r="I34" s="60" t="str">
        <x:v>Ready after major patch</x:v>
      </x:c>
      <x:c r="J34" s="60" t="str">
        <x:v>https://aclanthology.org/2026.findings-acl.1980/</x:v>
      </x:c>
      <x:c r="K34" s="60" t="str">
        <x:v>yes</x:v>
      </x:c>
    </x:row>
    <x:row r="35">
      <x:c r="A35" s="60" t="str">
        <x:v>high</x:v>
      </x:c>
      <x:c r="B35" s="60" t="n">
        <x:v>13</x:v>
      </x:c>
      <x:c r="C35" s="60" t="str">
        <x:v>liu2026topology_memory</x:v>
      </x:c>
      <x:c r="D35" s="60" t="str">
        <x:v>Topology Matters: Measuring Memory Leakage in Multi-Agent LLMs</x:v>
      </x:c>
      <x:c r="E35" s="60" t="str">
        <x:v>load_bearing</x:v>
      </x:c>
      <x:c r="F35" s="60" t="str">
        <x:v>Metric denominator</x:v>
      </x:c>
      <x:c r="G35" s="60" t="str"/>
      <x:c r="H35" s="60" t="str">
        <x:v>Store exact-match and LLM-inference leakage definitions and seeded-entity denominator.</x:v>
      </x:c>
      <x:c r="I35" s="60" t="str">
        <x:v>Ready after major patch</x:v>
      </x:c>
      <x:c r="J35" s="60" t="str">
        <x:v>https://aclanthology.org/2026.findings-acl.1980/</x:v>
      </x:c>
      <x:c r="K35" s="60" t="str">
        <x:v>yes</x:v>
      </x:c>
    </x:row>
    <x:row r="36">
      <x:c r="A36" s="60" t="str">
        <x:v>medium</x:v>
      </x:c>
      <x:c r="B36" s="60" t="n">
        <x:v>13</x:v>
      </x:c>
      <x:c r="C36" s="60" t="str">
        <x:v>liu2026topology_memory</x:v>
      </x:c>
      <x:c r="D36" s="60" t="str">
        <x:v>Topology Matters: Measuring Memory Leakage in Multi-Agent LLMs</x:v>
      </x:c>
      <x:c r="E36" s="60" t="str">
        <x:v>load_bearing</x:v>
      </x:c>
      <x:c r="F36" s="60" t="str">
        <x:v>Generalization</x:v>
      </x:c>
      <x:c r="G36" s="60" t="str"/>
      <x:c r="H36" s="60" t="str">
        <x:v>Do not state a universal topology ranking across models.</x:v>
      </x:c>
      <x:c r="I36" s="60" t="str">
        <x:v>Ready after major patch</x:v>
      </x:c>
      <x:c r="J36" s="60" t="str">
        <x:v>https://aclanthology.org/2026.findings-acl.1980/</x:v>
      </x:c>
      <x:c r="K36" s="60" t="str">
        <x:v>yes</x:v>
      </x:c>
    </x:row>
    <x:row r="37">
      <x:c r="A37" s="60" t="str">
        <x:v>high</x:v>
      </x:c>
      <x:c r="B37" s="60" t="n">
        <x:v>14</x:v>
      </x:c>
      <x:c r="C37" s="60" t="str">
        <x:v>he2025communication_attacks</x:v>
      </x:c>
      <x:c r="D37" s="60" t="str">
        <x:v>Red-Teaming LLM Multi-Agent Systems via Communication Attacks</x:v>
      </x:c>
      <x:c r="E37" s="60" t="str">
        <x:v>load_bearing</x:v>
      </x:c>
      <x:c r="F37" s="60" t="str">
        <x:v>Metric denominator</x:v>
      </x:c>
      <x:c r="G37" s="60" t="str"/>
      <x:c r="H37" s="60" t="str">
        <x:v>Record ASR as whole-dataset task-level success with separate targeted and denial-of-service predicates.</x:v>
      </x:c>
      <x:c r="I37" s="60" t="str">
        <x:v>Ready after minor patch</x:v>
      </x:c>
      <x:c r="J37" s="60" t="str">
        <x:v>https://aclanthology.org/2025.findings-acl.349/</x:v>
      </x:c>
      <x:c r="K37" s="60" t="str">
        <x:v>yes</x:v>
      </x:c>
    </x:row>
    <x:row r="38">
      <x:c r="A38" s="60" t="str">
        <x:v>medium</x:v>
      </x:c>
      <x:c r="B38" s="60" t="n">
        <x:v>14</x:v>
      </x:c>
      <x:c r="C38" s="60" t="str">
        <x:v>he2025communication_attacks</x:v>
      </x:c>
      <x:c r="D38" s="60" t="str">
        <x:v>Red-Teaming LLM Multi-Agent Systems via Communication Attacks</x:v>
      </x:c>
      <x:c r="E38" s="60" t="str">
        <x:v>load_bearing</x:v>
      </x:c>
      <x:c r="F38" s="60" t="str">
        <x:v>Failure versus impact</x:v>
      </x:c>
      <x:c r="G38" s="60" t="str"/>
      <x:c r="H38" s="60" t="str">
        <x:v>Use message integrity as primary and collective task corruption as downstream impact.</x:v>
      </x:c>
      <x:c r="I38" s="60" t="str">
        <x:v>Ready after minor patch</x:v>
      </x:c>
      <x:c r="J38" s="60" t="str">
        <x:v>https://aclanthology.org/2025.findings-acl.349/</x:v>
      </x:c>
      <x:c r="K38" s="60" t="str">
        <x:v>yes</x:v>
      </x:c>
    </x:row>
    <x:row r="39">
      <x:c r="A39" s="60" t="str">
        <x:v>medium</x:v>
      </x:c>
      <x:c r="B39" s="60" t="n">
        <x:v>14</x:v>
      </x:c>
      <x:c r="C39" s="60" t="str">
        <x:v>he2025communication_attacks</x:v>
      </x:c>
      <x:c r="D39" s="60" t="str">
        <x:v>Red-Teaming LLM Multi-Agent Systems via Communication Attacks</x:v>
      </x:c>
      <x:c r="E39" s="60" t="str">
        <x:v>load_bearing</x:v>
      </x:c>
      <x:c r="F39" s="60" t="str">
        <x:v>Assumption</x:v>
      </x:c>
      <x:c r="G39" s="60" t="str"/>
      <x:c r="H39" s="60" t="str">
        <x:v>Explicitly record lack of authenticated or integrity-protected channels.</x:v>
      </x:c>
      <x:c r="I39" s="60" t="str">
        <x:v>Ready after minor patch</x:v>
      </x:c>
      <x:c r="J39" s="60" t="str">
        <x:v>https://aclanthology.org/2025.findings-acl.349/</x:v>
      </x:c>
      <x:c r="K39" s="60" t="str">
        <x:v>yes</x:v>
      </x:c>
    </x:row>
    <x:row r="40">
      <x:c r="A40" s="60" t="str">
        <x:v>high</x:v>
      </x:c>
      <x:c r="B40" s="60" t="n">
        <x:v>15</x:v>
      </x:c>
      <x:c r="C40" s="60" t="str">
        <x:v>liu2025collective_manipulation</x:v>
      </x:c>
      <x:c r="D40" s="60" t="str">
        <x:v>Can an Individual Manipulate the Collective Decisions of Multi-Agents?</x:v>
      </x:c>
      <x:c r="E40" s="60" t="str">
        <x:v>load_bearing</x:v>
      </x:c>
      <x:c r="F40" s="60" t="str">
        <x:v>Metric definition</x:v>
      </x:c>
      <x:c r="G40" s="60" t="str"/>
      <x:c r="H40" s="60" t="str">
        <x:v>Store targeted and untargeted collective predicates exactly.</x:v>
      </x:c>
      <x:c r="I40" s="60" t="str">
        <x:v>Ready after minor patch</x:v>
      </x:c>
      <x:c r="J40" s="60" t="str">
        <x:v>https://aclanthology.org/2025.emnlp-main.611/</x:v>
      </x:c>
      <x:c r="K40" s="60" t="str">
        <x:v>yes</x:v>
      </x:c>
    </x:row>
    <x:row r="41">
      <x:c r="A41" s="60" t="str">
        <x:v>high</x:v>
      </x:c>
      <x:c r="B41" s="60" t="n">
        <x:v>15</x:v>
      </x:c>
      <x:c r="C41" s="60" t="str">
        <x:v>liu2025collective_manipulation</x:v>
      </x:c>
      <x:c r="D41" s="60" t="str">
        <x:v>Can an Individual Manipulate the Collective Decisions of Multi-Agents?</x:v>
      </x:c>
      <x:c r="E41" s="60" t="str">
        <x:v>load_bearing</x:v>
      </x:c>
      <x:c r="F41" s="60" t="str">
        <x:v>BFT boundary</x:v>
      </x:c>
      <x:c r="G41" s="60" t="str"/>
      <x:c r="H41" s="60" t="str">
        <x:v>Do not describe this as Byzantine agreement or a fault-threshold result.</x:v>
      </x:c>
      <x:c r="I41" s="60" t="str">
        <x:v>Ready after minor patch</x:v>
      </x:c>
      <x:c r="J41" s="60" t="str">
        <x:v>https://aclanthology.org/2025.emnlp-main.611/</x:v>
      </x:c>
      <x:c r="K41" s="60" t="str">
        <x:v>yes</x:v>
      </x:c>
    </x:row>
    <x:row r="42">
      <x:c r="A42" s="60" t="str">
        <x:v>medium</x:v>
      </x:c>
      <x:c r="B42" s="60" t="n">
        <x:v>15</x:v>
      </x:c>
      <x:c r="C42" s="60" t="str">
        <x:v>liu2025collective_manipulation</x:v>
      </x:c>
      <x:c r="D42" s="60" t="str">
        <x:v>Can an Individual Manipulate the Collective Decisions of Multi-Agents?</x:v>
      </x:c>
      <x:c r="E42" s="60" t="str">
        <x:v>load_bearing</x:v>
      </x:c>
      <x:c r="F42" s="60" t="str">
        <x:v>Scale</x:v>
      </x:c>
      <x:c r="G42" s="60" t="str"/>
      <x:c r="H42" s="60" t="str">
        <x:v>Record the up-to-101-agent result with its specific task and aggregation assumptions.</x:v>
      </x:c>
      <x:c r="I42" s="60" t="str">
        <x:v>Ready after minor patch</x:v>
      </x:c>
      <x:c r="J42" s="60" t="str">
        <x:v>https://aclanthology.org/2025.emnlp-main.611/</x:v>
      </x:c>
      <x:c r="K42" s="60" t="str">
        <x:v>yes</x:v>
      </x:c>
    </x:row>
    <x:row r="43">
      <x:c r="A43" s="60" t="str">
        <x:v>critical</x:v>
      </x:c>
      <x:c r="B43" s="60" t="n">
        <x:v>16</x:v>
      </x:c>
      <x:c r="C43" s="60" t="str">
        <x:v>zheng2026byzantine_reliability</x:v>
      </x:c>
      <x:c r="D43" s="60" t="str">
        <x:v>Rethinking the Reliability of Multi-agent System: A Perspective from Byzantine Fault Tolerance</x:v>
      </x:c>
      <x:c r="E43" s="60" t="str">
        <x:v>load_bearing</x:v>
      </x:c>
      <x:c r="F43" s="60" t="str">
        <x:v>Primary category</x:v>
      </x:c>
      <x:c r="G43" s="60" t="str"/>
      <x:c r="H43" s="60" t="str">
        <x:v>Change from attack to defense/evaluation/fault study.</x:v>
      </x:c>
      <x:c r="I43" s="60" t="str">
        <x:v>Ready after major patch</x:v>
      </x:c>
      <x:c r="J43" s="60" t="str">
        <x:v>https://ojs.aaai.org/index.php/AAAI/article/view/40806</x:v>
      </x:c>
      <x:c r="K43" s="60" t="str">
        <x:v>yes</x:v>
      </x:c>
    </x:row>
    <x:row r="44">
      <x:c r="A44" s="60" t="str">
        <x:v>critical</x:v>
      </x:c>
      <x:c r="B44" s="60" t="n">
        <x:v>16</x:v>
      </x:c>
      <x:c r="C44" s="60" t="str">
        <x:v>zheng2026byzantine_reliability</x:v>
      </x:c>
      <x:c r="D44" s="60" t="str">
        <x:v>Rethinking the Reliability of Multi-agent System: A Perspective from Byzantine Fault Tolerance</x:v>
      </x:c>
      <x:c r="E44" s="60" t="str">
        <x:v>load_bearing</x:v>
      </x:c>
      <x:c r="F44" s="60" t="str">
        <x:v>BFT claim</x:v>
      </x:c>
      <x:c r="G44" s="60" t="str"/>
      <x:c r="H44" s="60" t="str">
        <x:v>Do not describe 6 of 7 task accuracy as robustness beyond the classical BFT ceiling.</x:v>
      </x:c>
      <x:c r="I44" s="60" t="str">
        <x:v>Ready after major patch</x:v>
      </x:c>
      <x:c r="J44" s="60" t="str">
        <x:v>https://ojs.aaai.org/index.php/AAAI/article/view/40806</x:v>
      </x:c>
      <x:c r="K44" s="60" t="str">
        <x:v>yes</x:v>
      </x:c>
    </x:row>
    <x:row r="45">
      <x:c r="A45" s="60" t="str">
        <x:v>medium</x:v>
      </x:c>
      <x:c r="B45" s="60" t="n">
        <x:v>16</x:v>
      </x:c>
      <x:c r="C45" s="60" t="str">
        <x:v>zheng2026byzantine_reliability</x:v>
      </x:c>
      <x:c r="D45" s="60" t="str">
        <x:v>Rethinking the Reliability of Multi-agent System: A Perspective from Byzantine Fault Tolerance</x:v>
      </x:c>
      <x:c r="E45" s="60" t="str">
        <x:v>load_bearing</x:v>
      </x:c>
      <x:c r="F45" s="60" t="str">
        <x:v>Canonical title</x:v>
      </x:c>
      <x:c r="G45" s="60" t="str"/>
      <x:c r="H45" s="60" t="str">
        <x:v>Use singular 'System' as in the official paper.</x:v>
      </x:c>
      <x:c r="I45" s="60" t="str">
        <x:v>Ready after major patch</x:v>
      </x:c>
      <x:c r="J45" s="60" t="str">
        <x:v>https://ojs.aaai.org/index.php/AAAI/article/view/40806</x:v>
      </x:c>
      <x:c r="K45" s="60" t="str">
        <x:v>yes</x:v>
      </x:c>
    </x:row>
    <x:row r="46">
      <x:c r="A46" s="60" t="str">
        <x:v>high</x:v>
      </x:c>
      <x:c r="B46" s="60" t="n">
        <x:v>17</x:v>
      </x:c>
      <x:c r="C46" s="60" t="str">
        <x:v>triedman2025malicious_code</x:v>
      </x:c>
      <x:c r="D46" s="60" t="str">
        <x:v>Multi-Agent Systems Execute Arbitrary Malicious Code</x:v>
      </x:c>
      <x:c r="E46" s="60" t="str">
        <x:v>load_bearing</x:v>
      </x:c>
      <x:c r="F46" s="60" t="str">
        <x:v>Result evidence</x:v>
      </x:c>
      <x:c r="G46" s="60" t="str"/>
      <x:c r="H46" s="60" t="str">
        <x:v>Attach each success rate to the exact framework/model table; avoid a single generalized rate.</x:v>
      </x:c>
      <x:c r="I46" s="60" t="str">
        <x:v>Ready after minor patch</x:v>
      </x:c>
      <x:c r="J46" s="60" t="str">
        <x:v>https://openreview.net/forum?id=DAozI4etUp</x:v>
      </x:c>
      <x:c r="K46" s="60" t="str">
        <x:v>yes</x:v>
      </x:c>
    </x:row>
    <x:row r="47">
      <x:c r="A47" s="60" t="str">
        <x:v>medium</x:v>
      </x:c>
      <x:c r="B47" s="60" t="n">
        <x:v>17</x:v>
      </x:c>
      <x:c r="C47" s="60" t="str">
        <x:v>triedman2025malicious_code</x:v>
      </x:c>
      <x:c r="D47" s="60" t="str">
        <x:v>Multi-Agent Systems Execute Arbitrary Malicious Code</x:v>
      </x:c>
      <x:c r="E47" s="60" t="str">
        <x:v>load_bearing</x:v>
      </x:c>
      <x:c r="F47" s="60" t="str">
        <x:v>Failure versus impact</x:v>
      </x:c>
      <x:c r="G47" s="60" t="str"/>
      <x:c r="H47" s="60" t="str">
        <x:v>Use authority/control-flow integrity as the failure and RCE or exfiltration as impact.</x:v>
      </x:c>
      <x:c r="I47" s="60" t="str">
        <x:v>Ready after minor patch</x:v>
      </x:c>
      <x:c r="J47" s="60" t="str">
        <x:v>https://openreview.net/forum?id=DAozI4etUp</x:v>
      </x:c>
      <x:c r="K47" s="60" t="str">
        <x:v>yes</x:v>
      </x:c>
    </x:row>
    <x:row r="48">
      <x:c r="A48" s="60" t="str">
        <x:v>critical</x:v>
      </x:c>
      <x:c r="B48" s="60" t="n">
        <x:v>18</x:v>
      </x:c>
      <x:c r="C48" s="60" t="str">
        <x:v>arif2026conjunctive</x:v>
      </x:c>
      <x:c r="D48" s="60" t="str">
        <x:v>Conjunctive Prompt Attacks in Multi-Agent LLM Systems</x:v>
      </x:c>
      <x:c r="E48" s="60" t="str">
        <x:v>load_bearing</x:v>
      </x:c>
      <x:c r="F48" s="60" t="str">
        <x:v>Primary failure</x:v>
      </x:c>
      <x:c r="G48" s="60" t="str"/>
      <x:c r="H48" s="60" t="str">
        <x:v>Use F3 context/action integrity as primary unless the source explicitly demonstrates privilege escalation.</x:v>
      </x:c>
      <x:c r="I48" s="60" t="str">
        <x:v>Ready after major patch</x:v>
      </x:c>
      <x:c r="J48" s="60" t="str">
        <x:v>https://aclanthology.org/2026.acl-long.1577/</x:v>
      </x:c>
      <x:c r="K48" s="60" t="str">
        <x:v>yes</x:v>
      </x:c>
    </x:row>
    <x:row r="49">
      <x:c r="A49" s="60" t="str">
        <x:v>high</x:v>
      </x:c>
      <x:c r="B49" s="60" t="n">
        <x:v>18</x:v>
      </x:c>
      <x:c r="C49" s="60" t="str">
        <x:v>arif2026conjunctive</x:v>
      </x:c>
      <x:c r="D49" s="60" t="str">
        <x:v>Conjunctive Prompt Attacks in Multi-Agent LLM Systems</x:v>
      </x:c>
      <x:c r="E49" s="60" t="str">
        <x:v>load_bearing</x:v>
      </x:c>
      <x:c r="F49" s="60" t="str">
        <x:v>Baseline coding</x:v>
      </x:c>
      <x:c r="G49" s="60" t="str"/>
      <x:c r="H49" s="60" t="str">
        <x:v>Record clean, key-only, template-only, and both-fragment controls separately.</x:v>
      </x:c>
      <x:c r="I49" s="60" t="str">
        <x:v>Ready after major patch</x:v>
      </x:c>
      <x:c r="J49" s="60" t="str">
        <x:v>https://aclanthology.org/2026.acl-long.1577/</x:v>
      </x:c>
      <x:c r="K49" s="60" t="str">
        <x:v>yes</x:v>
      </x:c>
    </x:row>
    <x:row r="50">
      <x:c r="A50" s="60" t="str">
        <x:v>medium</x:v>
      </x:c>
      <x:c r="B50" s="60" t="n">
        <x:v>18</x:v>
      </x:c>
      <x:c r="C50" s="60" t="str">
        <x:v>arif2026conjunctive</x:v>
      </x:c>
      <x:c r="D50" s="60" t="str">
        <x:v>Conjunctive Prompt Attacks in Multi-Agent LLM Systems</x:v>
      </x:c>
      <x:c r="E50" s="60" t="str">
        <x:v>load_bearing</x:v>
      </x:c>
      <x:c r="F50" s="60" t="str">
        <x:v>Metric evidence</x:v>
      </x:c>
      <x:c r="G50" s="60" t="str"/>
      <x:c r="H50" s="60" t="str">
        <x:v>Tie ASR and false activation to exact topology tables.</x:v>
      </x:c>
      <x:c r="I50" s="60" t="str">
        <x:v>Ready after major patch</x:v>
      </x:c>
      <x:c r="J50" s="60" t="str">
        <x:v>https://aclanthology.org/2026.acl-long.1577/</x:v>
      </x:c>
      <x:c r="K50" s="60" t="str">
        <x:v>yes</x:v>
      </x:c>
    </x:row>
    <x:row r="51">
      <x:c r="A51" s="60" t="str">
        <x:v>critical</x:v>
      </x:c>
      <x:c r="B51" s="60" t="n">
        <x:v>19</x:v>
      </x:c>
      <x:c r="C51" s="60" t="str">
        <x:v>zhao2026parasites</x:v>
      </x:c>
      <x:c r="D51" s="60" t="str">
        <x:v>Parasites in the Toolchain: A Large-Scale Analysis of Attacks on the MCP Ecosystem</x:v>
      </x:c>
      <x:c r="E51" s="60" t="str">
        <x:v>load_bearing</x:v>
      </x:c>
      <x:c r="F51" s="60" t="str">
        <x:v>Publication metadata</x:v>
      </x:c>
      <x:c r="G51" s="60" t="str"/>
      <x:c r="H51" s="60" t="str">
        <x:v>Record final IEEE S&amp;P venue, DOI, and page range; retain arXiv as linked version.</x:v>
      </x:c>
      <x:c r="I51" s="60" t="str">
        <x:v>Ready after major patch</x:v>
      </x:c>
      <x:c r="J51" s="60" t="str">
        <x:v>https://arxiv.org/abs/2509.06572</x:v>
      </x:c>
      <x:c r="K51" s="60" t="str">
        <x:v>yes</x:v>
      </x:c>
    </x:row>
    <x:row r="52">
      <x:c r="A52" s="60" t="str">
        <x:v>critical</x:v>
      </x:c>
      <x:c r="B52" s="60" t="n">
        <x:v>19</x:v>
      </x:c>
      <x:c r="C52" s="60" t="str">
        <x:v>zhao2026parasites</x:v>
      </x:c>
      <x:c r="D52" s="60" t="str">
        <x:v>Parasites in the Toolchain: A Large-Scale Analysis of Attacks on the MCP Ecosystem</x:v>
      </x:c>
      <x:c r="E52" s="60" t="str">
        <x:v>load_bearing</x:v>
      </x:c>
      <x:c r="F52" s="60" t="str">
        <x:v>Scope relation</x:v>
      </x:c>
      <x:c r="G52" s="60" t="str"/>
      <x:c r="H52" s="60" t="str">
        <x:v>Downgrade from core_security to security_relevant under the independent-agent-core definition.</x:v>
      </x:c>
      <x:c r="I52" s="60" t="str">
        <x:v>Ready after major patch</x:v>
      </x:c>
      <x:c r="J52" s="60" t="str">
        <x:v>https://arxiv.org/abs/2509.06572</x:v>
      </x:c>
      <x:c r="K52" s="60" t="str">
        <x:v>yes</x:v>
      </x:c>
    </x:row>
    <x:row r="53">
      <x:c r="A53" s="60" t="str">
        <x:v>high</x:v>
      </x:c>
      <x:c r="B53" s="60" t="n">
        <x:v>19</x:v>
      </x:c>
      <x:c r="C53" s="60" t="str">
        <x:v>zhao2026parasites</x:v>
      </x:c>
      <x:c r="D53" s="60" t="str">
        <x:v>Parasites in the Toolchain: A Large-Scale Analysis of Attacks on the MCP Ecosystem</x:v>
      </x:c>
      <x:c r="E53" s="60" t="str">
        <x:v>load_bearing</x:v>
      </x:c>
      <x:c r="F53" s="60" t="str">
        <x:v>Result interpretation</x:v>
      </x:c>
      <x:c r="G53" s="60" t="str"/>
      <x:c r="H53" s="60" t="str">
        <x:v>Separate capability-gadget prevalence from successful exploitation.</x:v>
      </x:c>
      <x:c r="I53" s="60" t="str">
        <x:v>Ready after major patch</x:v>
      </x:c>
      <x:c r="J53" s="60" t="str">
        <x:v>https://arxiv.org/abs/2509.06572</x:v>
      </x:c>
      <x:c r="K53" s="60" t="str">
        <x:v>yes</x:v>
      </x:c>
    </x:row>
    <x:row r="54">
      <x:c r="A54" s="60" t="str">
        <x:v>critical</x:v>
      </x:c>
      <x:c r="B54" s="60" t="n">
        <x:v>20</x:v>
      </x:c>
      <x:c r="C54" s="60" t="str">
        <x:v>li2026a2asecbench</x:v>
      </x:c>
      <x:c r="D54" s="60" t="str">
        <x:v>A2ASecBench: A Protocol-Aware Security Benchmark for Agent-to-Agent Multi-Agent Systems</x:v>
      </x:c>
      <x:c r="E54" s="60" t="str">
        <x:v>load_bearing</x:v>
      </x:c>
      <x:c r="F54" s="60" t="str">
        <x:v>Primary category</x:v>
      </x:c>
      <x:c r="G54" s="60" t="str"/>
      <x:c r="H54" s="60" t="str">
        <x:v>Change from attack to benchmark/evaluation with an attack-suite role.</x:v>
      </x:c>
      <x:c r="I54" s="60" t="str">
        <x:v>Pending exact full-text verification</x:v>
      </x:c>
      <x:c r="J54" s="60" t="str">
        <x:v>https://iclr.cc/virtual/2026/poster/10010017</x:v>
      </x:c>
      <x:c r="K54" s="60" t="str">
        <x:v>yes</x:v>
      </x:c>
    </x:row>
    <x:row r="55">
      <x:c r="A55" s="60" t="str">
        <x:v>critical</x:v>
      </x:c>
      <x:c r="B55" s="60" t="n">
        <x:v>20</x:v>
      </x:c>
      <x:c r="C55" s="60" t="str">
        <x:v>li2026a2asecbench</x:v>
      </x:c>
      <x:c r="D55" s="60" t="str">
        <x:v>A2ASecBench: A Protocol-Aware Security Benchmark for Agent-to-Agent Multi-Agent Systems</x:v>
      </x:c>
      <x:c r="E55" s="60" t="str">
        <x:v>load_bearing</x:v>
      </x:c>
      <x:c r="F55" s="60" t="str">
        <x:v>Evidence locators</x:v>
      </x:c>
      <x:c r="G55" s="60" t="str"/>
      <x:c r="H55" s="60" t="str">
        <x:v>Obtain the final PDF and record exact page, figure, and table locations before manuscript use.</x:v>
      </x:c>
      <x:c r="I55" s="60" t="str">
        <x:v>Pending exact full-text verification</x:v>
      </x:c>
      <x:c r="J55" s="60" t="str">
        <x:v>https://iclr.cc/virtual/2026/poster/10010017</x:v>
      </x:c>
      <x:c r="K55" s="60" t="str">
        <x:v>yes</x:v>
      </x:c>
    </x:row>
    <x:row r="56">
      <x:c r="A56" s="60" t="str">
        <x:v>high</x:v>
      </x:c>
      <x:c r="B56" s="60" t="n">
        <x:v>20</x:v>
      </x:c>
      <x:c r="C56" s="60" t="str">
        <x:v>li2026a2asecbench</x:v>
      </x:c>
      <x:c r="D56" s="60" t="str">
        <x:v>A2ASecBench: A Protocol-Aware Security Benchmark for Agent-to-Agent Multi-Agent Systems</x:v>
      </x:c>
      <x:c r="E56" s="60" t="str">
        <x:v>load_bearing</x:v>
      </x:c>
      <x:c r="F56" s="60" t="str">
        <x:v>Metric denominator</x:v>
      </x:c>
      <x:c r="G56" s="60" t="str"/>
      <x:c r="H56" s="60" t="str">
        <x:v>Use release-case counts and matched-control denominators, then reconcile them with the paper tables.</x:v>
      </x:c>
      <x:c r="I56" s="60" t="str">
        <x:v>Pending exact full-text verification</x:v>
      </x:c>
      <x:c r="J56" s="60" t="str">
        <x:v>https://iclr.cc/virtual/2026/poster/10010017</x:v>
      </x:c>
      <x:c r="K56" s="60" t="str">
        <x:v>yes</x:v>
      </x:c>
    </x:row>
    <x:row r="57">
      <x:c r="A57" s="60" t="str">
        <x:v>high</x:v>
      </x:c>
      <x:c r="B57" s="60" t="n">
        <x:v>21</x:v>
      </x:c>
      <x:c r="C57" s="60" t="str">
        <x:v>zhang2024psysafe</x:v>
      </x:c>
      <x:c r="D57" s="60" t="str">
        <x:v>PsySafe: A Comprehensive Framework for Psychological-based Attack, Defense, and Evaluation of Multi-agent System Safety</x:v>
      </x:c>
      <x:c r="E57" s="60" t="str">
        <x:v>standard_attack</x:v>
      </x:c>
      <x:c r="F57" s="60" t="str">
        <x:v>metadata/scope/category/evidence/metric</x:v>
      </x:c>
      <x:c r="G57" s="60" t="str">
        <x:v>scope=core_security; category=attack</x:v>
      </x:c>
      <x:c r="H57" s="60" t="str">
        <x:v>Change scope from core_security to security_relevant; change primary category from attack to evaluation/mixed framework; preserve attack as secondary role; fix canonical title punctuation; do not encode JDR/PDR as ASR.</x:v>
      </x:c>
      <x:c r="I57" s="60" t="str">
        <x:v>Interaction and collective danger are central, but the paper primarily studies broad psychological safety and role-prompt effects rather than a narrowly defined technical security property.</x:v>
      </x:c>
      <x:c r="J57" s="60" t="str">
        <x:v>ACL PDF pp. 1-4, Secs. 2.2-2.4; p. 4 Secs. 3.1-3.3; pp. 6-8 Tables 3-5; Appendix B p. 14 for PDR/JDR definitions.</x:v>
      </x:c>
      <x:c r="K57" s="60" t="str">
        <x:v>yes</x:v>
      </x:c>
    </x:row>
    <x:row r="58">
      <x:c r="A58" s="60" t="str">
        <x:v>medium</x:v>
      </x:c>
      <x:c r="B58" s="60" t="n">
        <x:v>22</x:v>
      </x:c>
      <x:c r="C58" s="60" t="str">
        <x:v>amayuelas2024collaboration_attack</x:v>
      </x:c>
      <x:c r="D58" s="60" t="str">
        <x:v>MultiAgent Collaboration Attack: Investigating Adversarial Attacks in Large Language Model Collaborations via Debate</x:v>
      </x:c>
      <x:c r="E58" s="60" t="str">
        <x:v>standard_attack</x:v>
      </x:c>
      <x:c r="F58" s="60" t="str">
        <x:v>metadata/scope/category/evidence/metric</x:v>
      </x:c>
      <x:c r="G58" s="60" t="str">
        <x:v>scope=core_security; category=attack</x:v>
      </x:c>
      <x:c r="H58" s="60" t="str">
        <x:v>Keep attack/core_security.</x:v>
      </x:c>
      <x:c r="I58" s="60" t="str">
        <x:v>A malicious member exploits inter-agent debate to manipulate the aggregate decision; the failure is interaction-dependent.</x:v>
      </x:c>
      <x:c r="J58" s="60" t="str">
        <x:v>PDF pp. 1-2 for setup and headline effects; Sec. 3 pp. 3-4; Sec. 4 pp. 4-7; Fig. 6-7 pp. 7-8; conclusion p. 8.</x:v>
      </x:c>
      <x:c r="K58" s="60" t="str">
        <x:v>yes</x:v>
      </x:c>
    </x:row>
    <x:row r="59">
      <x:c r="A59" s="60" t="str">
        <x:v>medium</x:v>
      </x:c>
      <x:c r="B59" s="60" t="n">
        <x:v>22</x:v>
      </x:c>
      <x:c r="C59" s="60" t="str">
        <x:v>amayuelas2024collaboration_attack</x:v>
      </x:c>
      <x:c r="D59" s="60" t="str">
        <x:v>MultiAgent Collaboration Attack: Investigating Adversarial Attacks in Large Language Model Collaborations via Debate</x:v>
      </x:c>
      <x:c r="E59" s="60" t="str">
        <x:v>standard_attack</x:v>
      </x:c>
      <x:c r="F59" s="60" t="str">
        <x:v>metadata/scope/category/evidence/metric</x:v>
      </x:c>
      <x:c r="G59" s="60" t="str">
        <x:v>scope=core_security; category=attack</x:v>
      </x:c>
      <x:c r="H59" s="60" t="str">
        <x:v>Ensure metrics are coded as question-level majority accuracy and adversary agreement, not generic ASR.</x:v>
      </x:c>
      <x:c r="I59" s="60" t="str">
        <x:v>Authors establish vulnerability of debate in evaluated tasks. Do not generalize to arbitrary topologies or autonomous tool execution.</x:v>
      </x:c>
      <x:c r="J59" s="60" t="str">
        <x:v>PDF pp. 1-2 for setup and headline effects; Sec. 3 pp. 3-4; Sec. 4 pp. 4-7; Fig. 6-7 pp. 7-8; conclusion p. 8.</x:v>
      </x:c>
      <x:c r="K59" s="60" t="str">
        <x:v>yes</x:v>
      </x:c>
    </x:row>
    <x:row r="60">
      <x:c r="A60" s="60" t="str">
        <x:v>medium</x:v>
      </x:c>
      <x:c r="B60" s="60" t="n">
        <x:v>22</x:v>
      </x:c>
      <x:c r="C60" s="60" t="str">
        <x:v>amayuelas2024collaboration_attack</x:v>
      </x:c>
      <x:c r="D60" s="60" t="str">
        <x:v>MultiAgent Collaboration Attack: Investigating Adversarial Attacks in Large Language Model Collaborations via Debate</x:v>
      </x:c>
      <x:c r="E60" s="60" t="str">
        <x:v>standard_attack</x:v>
      </x:c>
      <x:c r="F60" s="60" t="str">
        <x:v>metadata/scope/category/evidence/metric</x:v>
      </x:c>
      <x:c r="G60" s="60" t="str">
        <x:v>scope=core_security; category=attack</x:v>
      </x:c>
      <x:c r="H60" s="60" t="str">
        <x:v>Record debate topology rather than unspecified collaboration.</x:v>
      </x:c>
      <x:c r="I60" s="60" t="str">
        <x:v>Authors establish vulnerability of debate in evaluated tasks. Do not generalize to arbitrary topologies or autonomous tool execution.</x:v>
      </x:c>
      <x:c r="J60" s="60" t="str">
        <x:v>PDF pp. 1-2 for setup and headline effects; Sec. 3 pp. 3-4; Sec. 4 pp. 4-7; Fig. 6-7 pp. 7-8; conclusion p. 8.</x:v>
      </x:c>
      <x:c r="K60" s="60" t="str">
        <x:v>yes</x:v>
      </x:c>
    </x:row>
    <x:row r="61">
      <x:c r="A61" s="60" t="str">
        <x:v>high</x:v>
      </x:c>
      <x:c r="B61" s="60" t="n">
        <x:v>23</x:v>
      </x:c>
      <x:c r="C61" s="60" t="str">
        <x:v>khan2025agents_under_siege</x:v>
      </x:c>
      <x:c r="D61" s="60" t="str">
        <x:v>Agents Under Siege: Breaking Pragmatic Multi-Agent LLM Systems with Optimized Prompt Attacks</x:v>
      </x:c>
      <x:c r="E61" s="60" t="str">
        <x:v>standard_attack</x:v>
      </x:c>
      <x:c r="F61" s="60" t="str">
        <x:v>metadata/scope/category/evidence/metric</x:v>
      </x:c>
      <x:c r="G61" s="60" t="str">
        <x:v>scope=core_security; category=attack</x:v>
      </x:c>
      <x:c r="H61" s="60" t="str">
        <x:v>Keep attack/core_security.</x:v>
      </x:c>
      <x:c r="I61" s="60" t="str">
        <x:v>Attack success depends on graph routing, edge bandwidth, latency/permutation, and distributed safety placement.</x:v>
      </x:c>
      <x:c r="J61" s="60" t="str">
        <x:v>PDF Sec. 3 pp. 3-4; Sec. 4 pp. 4-5; Table 1 pp. 5-6; Secs. 5.2-5.4 pp. 6-8; Appendix B pp. 12-13.</x:v>
      </x:c>
      <x:c r="K61" s="60" t="str">
        <x:v>yes</x:v>
      </x:c>
    </x:row>
    <x:row r="62">
      <x:c r="A62" s="60" t="str">
        <x:v>high</x:v>
      </x:c>
      <x:c r="B62" s="60" t="n">
        <x:v>23</x:v>
      </x:c>
      <x:c r="C62" s="60" t="str">
        <x:v>khan2025agents_under_siege</x:v>
      </x:c>
      <x:c r="D62" s="60" t="str">
        <x:v>Agents Under Siege: Breaking Pragmatic Multi-Agent LLM Systems with Optimized Prompt Attacks</x:v>
      </x:c>
      <x:c r="E62" s="60" t="str">
        <x:v>standard_attack</x:v>
      </x:c>
      <x:c r="F62" s="60" t="str">
        <x:v>metadata/scope/category/evidence/metric</x:v>
      </x:c>
      <x:c r="G62" s="60" t="str">
        <x:v>scope=core_security; category=attack</x:v>
      </x:c>
      <x:c r="H62" s="60" t="str">
        <x:v>Clarify that primary outcome is target jailbreak, not system-wide compromise.</x:v>
      </x:c>
      <x:c r="I62" s="60" t="str">
        <x:v>Authors claim a pragmatic graph-constrained jailbreak attack. Corpus should not describe it as compromising all agents or as measuring affected population.</x:v>
      </x:c>
      <x:c r="J62" s="60" t="str">
        <x:v>PDF Sec. 3 pp. 3-4; Sec. 4 pp. 4-5; Table 1 pp. 5-6; Secs. 5.2-5.4 pp. 6-8; Appendix B pp. 12-13.</x:v>
      </x:c>
      <x:c r="K62" s="60" t="str">
        <x:v>yes</x:v>
      </x:c>
    </x:row>
    <x:row r="63">
      <x:c r="A63" s="60" t="str">
        <x:v>high</x:v>
      </x:c>
      <x:c r="B63" s="60" t="n">
        <x:v>23</x:v>
      </x:c>
      <x:c r="C63" s="60" t="str">
        <x:v>khan2025agents_under_siege</x:v>
      </x:c>
      <x:c r="D63" s="60" t="str">
        <x:v>Agents Under Siege: Breaking Pragmatic Multi-Agent LLM Systems with Optimized Prompt Attacks</x:v>
      </x:c>
      <x:c r="E63" s="60" t="str">
        <x:v>standard_attack</x:v>
      </x:c>
      <x:c r="F63" s="60" t="str">
        <x:v>metadata/scope/category/evidence/metric</x:v>
      </x:c>
      <x:c r="G63" s="60" t="str">
        <x:v>scope=core_security; category=attack</x:v>
      </x:c>
      <x:c r="H63" s="60" t="str">
        <x:v>Do not confuse stochastic sample size M with number of agents.</x:v>
      </x:c>
      <x:c r="I63" s="60" t="str">
        <x:v>Authors claim a pragmatic graph-constrained jailbreak attack. Corpus should not describe it as compromising all agents or as measuring affected population.</x:v>
      </x:c>
      <x:c r="J63" s="60" t="str">
        <x:v>PDF Sec. 3 pp. 3-4; Sec. 4 pp. 4-5; Table 1 pp. 5-6; Secs. 5.2-5.4 pp. 6-8; Appendix B pp. 12-13.</x:v>
      </x:c>
      <x:c r="K63" s="60" t="str">
        <x:v>yes</x:v>
      </x:c>
    </x:row>
    <x:row r="64">
      <x:c r="A64" s="60" t="str">
        <x:v>high</x:v>
      </x:c>
      <x:c r="B64" s="60" t="n">
        <x:v>23</x:v>
      </x:c>
      <x:c r="C64" s="60" t="str">
        <x:v>khan2025agents_under_siege</x:v>
      </x:c>
      <x:c r="D64" s="60" t="str">
        <x:v>Agents Under Siege: Breaking Pragmatic Multi-Agent LLM Systems with Optimized Prompt Attacks</x:v>
      </x:c>
      <x:c r="E64" s="60" t="str">
        <x:v>standard_attack</x:v>
      </x:c>
      <x:c r="F64" s="60" t="str">
        <x:v>metadata/scope/category/evidence/metric</x:v>
      </x:c>
      <x:c r="G64" s="60" t="str">
        <x:v>scope=core_security; category=attack</x:v>
      </x:c>
      <x:c r="H64" s="60" t="str">
        <x:v>Encode ASR denominator as harmful prompt/test case.</x:v>
      </x:c>
      <x:c r="I64" s="60" t="str">
        <x:v>Authors claim a pragmatic graph-constrained jailbreak attack. Corpus should not describe it as compromising all agents or as measuring affected population.</x:v>
      </x:c>
      <x:c r="J64" s="60" t="str">
        <x:v>PDF Sec. 3 pp. 3-4; Sec. 4 pp. 4-5; Table 1 pp. 5-6; Secs. 5.2-5.4 pp. 6-8; Appendix B pp. 12-13.</x:v>
      </x:c>
      <x:c r="K64" s="60" t="str">
        <x:v>yes</x:v>
      </x:c>
    </x:row>
    <x:row r="65">
      <x:c r="A65" s="60" t="str">
        <x:v>medium</x:v>
      </x:c>
      <x:c r="B65" s="60" t="n">
        <x:v>24</x:v>
      </x:c>
      <x:c r="C65" s="60" t="str">
        <x:v>peigne2025security_tax</x:v>
      </x:c>
      <x:c r="D65" s="60" t="str">
        <x:v>Multi-Agent Security Tax: Trading Off Security and Collaboration Capabilities in Multi-Agent Systems</x:v>
      </x:c>
      <x:c r="E65" s="60" t="str">
        <x:v>standard_attack</x:v>
      </x:c>
      <x:c r="F65" s="60" t="str">
        <x:v>metadata/scope/category/evidence/metric</x:v>
      </x:c>
      <x:c r="G65" s="60" t="str">
        <x:v>scope=core_security; category=attack</x:v>
      </x:c>
      <x:c r="H65" s="60" t="str">
        <x:v>Normalize canonical author metadata; keep attack/core_security; encode system robustness and cooperation separately; mark harmful action as simulated code request, not real-world execution.</x:v>
      </x:c>
      <x:c r="I65" s="60" t="str">
        <x:v>A compromise of one member propagates malicious instructions through the interaction graph and can trigger a harmful tool action.</x:v>
      </x:c>
      <x:c r="J65" s="60" t="str">
        <x:v>AAAI/arXiv PDF pp. 1-3 and Fig. 2; Sec. 3 pp. 4-5; Table 1 pp. 5-6; Sec. 5 “Discussion &amp; Limitations” p. 7; appendices for prompts.</x:v>
      </x:c>
      <x:c r="K65" s="60" t="str">
        <x:v>yes</x:v>
      </x:c>
    </x:row>
    <x:row r="66">
      <x:c r="A66" s="60" t="str">
        <x:v>medium</x:v>
      </x:c>
      <x:c r="B66" s="60" t="n">
        <x:v>25</x:v>
      </x:c>
      <x:c r="C66" s="60" t="str">
        <x:v>zhang2025allies_foes</x:v>
      </x:c>
      <x:c r="D66" s="60" t="str">
        <x:v>When Allies Turn Foes: Exploring Group Characteristics of LLM-Based Multi-Agent Collaborative Systems Under Adversarial Attacks</x:v>
      </x:c>
      <x:c r="E66" s="60" t="str">
        <x:v>standard_attack</x:v>
      </x:c>
      <x:c r="F66" s="60" t="str">
        <x:v>metadata/scope/category/evidence/metric</x:v>
      </x:c>
      <x:c r="G66" s="60" t="str">
        <x:v>scope=core_security; category=attack</x:v>
      </x:c>
      <x:c r="H66" s="60" t="str">
        <x:v>Clarify that communication strategies are schedules rather than general graph topology; encode SDI with its question/agent/round denominator; keep external impact claims narrow.</x:v>
      </x:c>
      <x:c r="I66" s="60" t="str">
        <x:v>The primary question is adversarial-member influence on group decisions, and the failure depends on inter-agent deliberation.</x:v>
      </x:c>
      <x:c r="J66" s="60" t="str">
        <x:v>PDF pp. 1-3, Secs. 2.1-2.4 and Eqs. 1-3; pp. 3-6, Figs. 1-4; p. 9 Limitations.</x:v>
      </x:c>
      <x:c r="K66" s="60" t="str">
        <x:v>yes</x:v>
      </x:c>
    </x:row>
    <x:row r="67">
      <x:c r="A67" s="60" t="str">
        <x:v>high</x:v>
      </x:c>
      <x:c r="B67" s="60" t="n">
        <x:v>26</x:v>
      </x:c>
      <x:c r="C67" s="60" t="str">
        <x:v>zhu2025master</x:v>
      </x:c>
      <x:c r="D67" s="60" t="str">
        <x:v>MASTER: Multi-Agent Security Through Exploration of Roles and Topological Structures - A Comprehensive Framework</x:v>
      </x:c>
      <x:c r="E67" s="60" t="str">
        <x:v>standard_attack</x:v>
      </x:c>
      <x:c r="F67" s="60" t="str">
        <x:v>metadata/scope/category/evidence/metric</x:v>
      </x:c>
      <x:c r="G67" s="60" t="str">
        <x:v>scope=core_security; category=attack</x:v>
      </x:c>
      <x:c r="H67" s="60" t="str">
        <x:v>Reclassify primary role from attack to evaluation/framework; do not report one fixed agent count; distinguish generated harmful cooperation from verified real-world harm; preserve ASR denominator.</x:v>
      </x:c>
      <x:c r="I67" s="60" t="str">
        <x:v>Role and topology reconnaissance, adaptive attack assignment, and harmful cooperation are explicitly interaction dependent.</x:v>
      </x:c>
      <x:c r="J67" s="60" t="str">
        <x:v>PDF Sec. 3.1 pp. 3-4 and Fig. 2; Secs. 3.2.4-3.2.5 pp. 5-6; Sec. 4.1 pp. 6-7; Table 2; Fig. 5 p. 9.</x:v>
      </x:c>
      <x:c r="K67" s="60" t="str">
        <x:v>yes</x:v>
      </x:c>
    </x:row>
    <x:row r="68">
      <x:c r="A68" s="60" t="str">
        <x:v>high</x:v>
      </x:c>
      <x:c r="B68" s="60" t="n">
        <x:v>27</x:v>
      </x:c>
      <x:c r="C68" s="60" t="str">
        <x:v>zhang2025breaking_agents</x:v>
      </x:c>
      <x:c r="D68" s="60" t="str">
        <x:v>Breaking Agents: Compromising Autonomous LLM Agents Through Malfunction Amplification</x:v>
      </x:c>
      <x:c r="E68" s="60" t="str">
        <x:v>standard_attack</x:v>
      </x:c>
      <x:c r="F68" s="60" t="str">
        <x:v>metadata/scope/category/evidence/metric</x:v>
      </x:c>
      <x:c r="G68" s="60" t="str">
        <x:v>scope=core_security; category=attack</x:v>
      </x:c>
      <x:c r="H68" s="60" t="str">
        <x:v>Downgrade whole-paper scope to security_relevant; code only advanced MAS claims as core interaction evidence; do not use the &gt;80% headline as a population-level MAS result.</x:v>
      </x:c>
      <x:c r="I68" s="60" t="str">
        <x:v>The attack primitive is general agent malfunction. Only the advanced viral cases are interaction-dependent and should enter the MAS claim corpus.</x:v>
      </x:c>
      <x:c r="J68" s="60" t="str">
        <x:v>PDF Secs. 3.2-3.3 pp. 2-3; Tables 2-4 pp. 5-7; Sec. 5.5 pp. 6-7; Limitations p. 8.</x:v>
      </x:c>
      <x:c r="K68" s="60" t="str">
        <x:v>yes</x:v>
      </x:c>
    </x:row>
    <x:row r="69">
      <x:c r="A69" s="60" t="str">
        <x:v>medium</x:v>
      </x:c>
      <x:c r="B69" s="60" t="n">
        <x:v>28</x:v>
      </x:c>
      <x:c r="C69" s="60" t="str">
        <x:v>yan2026evo_attacker</x:v>
      </x:c>
      <x:c r="D69" s="60" t="str">
        <x:v>Evo-Attacker: Memory-Augmented Reinforcement Learning for Long-Horizon Tool Attacks on LLM-MAS</x:v>
      </x:c>
      <x:c r="E69" s="60" t="str">
        <x:v>standard_attack</x:v>
      </x:c>
      <x:c r="F69" s="60" t="str">
        <x:v>metadata/scope/category/evidence/metric</x:v>
      </x:c>
      <x:c r="G69" s="60" t="str">
        <x:v>scope=core_security; category=attack</x:v>
      </x:c>
      <x:c r="H69" s="60" t="str">
        <x:v>Do not label its reported metrics as ASR; preserve tool-channel-only visibility and B=3 constraint; do not infer n from G=8 rollouts; narrow “system collapse” to task failure.</x:v>
      </x:c>
      <x:c r="I69" s="60" t="str">
        <x:v>The threat model and evaluated consequence explicitly depend on a multi-round MAS execution trace and communication architecture.</x:v>
      </x:c>
      <x:c r="J69" s="60" t="str">
        <x:v>PDF Sec. 2 pp. 2-3; Fig. 1; Sec. 4.1 p. 4; Table 1 pp. 5; Table 2 pp. 5-6; Sec. 4.5; Limitations p. 8.</x:v>
      </x:c>
      <x:c r="K69" s="60" t="str">
        <x:v>yes</x:v>
      </x:c>
    </x:row>
    <x:row r="70">
      <x:c r="A70" s="60" t="str">
        <x:v>medium</x:v>
      </x:c>
      <x:c r="B70" s="60" t="n">
        <x:v>29</x:v>
      </x:c>
      <x:c r="C70" s="60" t="str">
        <x:v>yan2026mast</x:v>
      </x:c>
      <x:c r="D70" s="60" t="str">
        <x:v>Attack the Messages, Not the Agents: A Multi-round Adaptive Stealthy Tampering Framework for LLM-MAS</x:v>
      </x:c>
      <x:c r="E70" s="60" t="str">
        <x:v>standard_attack</x:v>
      </x:c>
      <x:c r="F70" s="60" t="str">
        <x:v>metadata/scope/category/evidence/metric</x:v>
      </x:c>
      <x:c r="G70" s="60" t="str">
        <x:v>scope=core_security; category=attack</x:v>
      </x:c>
      <x:c r="H70" s="60" t="str">
        <x:v>Separate task-level ASR from message-level stealth denominator; retain strong on-path and graph-knowledge assumptions; do not describe agents themselves as compromised.</x:v>
      </x:c>
      <x:c r="I70" s="60" t="str">
        <x:v>The attack surface and outcome are explicitly inter-agent communication and collective task integrity.</x:v>
      </x:c>
      <x:c r="J70" s="60" t="str">
        <x:v>AAAI PDF Sec. 3.2 p. 3; Secs. 4.1-4.2 pp. 3-5, Fig. 2, Eqs. 10-11; Secs. 5.1-5.2 pp. 5-7, Table 1.</x:v>
      </x:c>
      <x:c r="K70" s="60" t="str">
        <x:v>yes</x:v>
      </x:c>
    </x:row>
    <x:row r="71">
      <x:c r="A71" s="60" t="str">
        <x:v>high</x:v>
      </x:c>
      <x:c r="B71" s="60" t="n">
        <x:v>30</x:v>
      </x:c>
      <x:c r="C71" s="60" t="str">
        <x:v>wang2026shadows_code</x:v>
      </x:c>
      <x:c r="D71" s="60" t="str">
        <x:v>Shadows in the Code: Exploring the Risks and Defenses of LLM-based Multi-Agent Software Development Systems</x:v>
      </x:c>
      <x:c r="E71" s="60" t="str">
        <x:v>standard_attack</x:v>
      </x:c>
      <x:c r="F71" s="60" t="str">
        <x:v>metadata/scope/category/evidence/metric</x:v>
      </x:c>
      <x:c r="G71" s="60" t="str">
        <x:v>scope=core_security; category=attack</x:v>
      </x:c>
      <x:c r="H71" s="60" t="str">
        <x:v>Reclassify paper-level role from attack to evaluation; do not claim fixed agent count; distinguish verified malicious code behavior from real-world compromise.</x:v>
      </x:c>
      <x:c r="I71" s="60" t="str">
        <x:v>The attacks and defenses are localized to role agents and propagate through a multi-stage software workflow.</x:v>
      </x:c>
      <x:c r="J71" s="60" t="str">
        <x:v>PDF Methodology pp. 3-5 and Fig. 2; Experiment p. 5; attack/defense results pp. 6-8, Figs. 4-5.</x:v>
      </x:c>
      <x:c r="K71" s="60" t="str">
        <x:v>yes</x:v>
      </x:c>
    </x:row>
    <x:row r="72">
      <x:c r="A72" s="60" t="str">
        <x:v>medium</x:v>
      </x:c>
      <x:c r="B72" s="60" t="n">
        <x:v>31</x:v>
      </x:c>
      <x:c r="C72" s="60" t="str">
        <x:v>wu2026cia</x:v>
      </x:c>
      <x:c r="D72" s="60" t="str">
        <x:v>CIA: Inferring the Communication Topology from LLM-based Multi-Agent Systems</x:v>
      </x:c>
      <x:c r="E72" s="60" t="str">
        <x:v>standard_attack</x:v>
      </x:c>
      <x:c r="F72" s="60" t="str">
        <x:v>metadata/scope/category/evidence/metric</x:v>
      </x:c>
      <x:c r="G72" s="60" t="str">
        <x:v>scope=core_security; category=attack</x:v>
      </x:c>
      <x:c r="H72" s="60" t="str">
        <x:v>Keep primary failure structural confidentiality; record AUC per edge; remove any claim that topology was modified or that later exploitation was verified.</x:v>
      </x:c>
      <x:c r="I72" s="60" t="str">
        <x:v>Structural confidentiality of the communication topology is a native MAS property.</x:v>
      </x:c>
      <x:c r="J72" s="60" t="str">
        <x:v>PDF Sec. 3 pp. 3-4; Sec. 4 pp. 4-7; Sec. 5 pp. 8-10 and main result tables.</x:v>
      </x:c>
      <x:c r="K72" s="60" t="str">
        <x:v>yes</x:v>
      </x:c>
    </x:row>
    <x:row r="73">
      <x:c r="A73" s="60" t="str">
        <x:v>high</x:v>
      </x:c>
      <x:c r="B73" s="60" t="n">
        <x:v>32</x:v>
      </x:c>
      <x:c r="C73" s="60" t="str">
        <x:v>ko2026social_dynamics</x:v>
      </x:c>
      <x:c r="D73" s="60" t="str">
        <x:v>Social Dynamics as Critical Vulnerabilities that Undermine Objective Decision-Making in LLM Collectives</x:v>
      </x:c>
      <x:c r="E73" s="60" t="str">
        <x:v>standard_attack</x:v>
      </x:c>
      <x:c r="F73" s="60" t="str">
        <x:v>metadata/scope/category/evidence/metric</x:v>
      </x:c>
      <x:c r="G73" s="60" t="str">
        <x:v>scope=security_relevant; category=attack</x:v>
      </x:c>
      <x:c r="H73" s="60" t="str">
        <x:v>Downgrade scope to security_relevant and primary role to evaluation; separate adversarial manipulation from non-adversarial social behavior; do not generalize to all MAS topologies.</x:v>
      </x:c>
      <x:c r="I73" s="60" t="str">
        <x:v>Intentional adversarial peers manipulate objective decisions, but the study is also a social-psychology evaluation and does not model a broader technical security boundary.</x:v>
      </x:c>
      <x:c r="J73" s="60" t="str">
        <x:v>PDF study design Sec. 3 pp. 3-5; experiments Secs. 4-5 pp. 4-15 and main tables/figures; limitations section.</x:v>
      </x:c>
      <x:c r="K73" s="60" t="str">
        <x:v>yes</x:v>
      </x:c>
    </x:row>
    <x:row r="74">
      <x:c r="A74" s="60" t="str">
        <x:v>high</x:v>
      </x:c>
      <x:c r="B74" s="60" t="n">
        <x:v>33</x:v>
      </x:c>
      <x:c r="C74" s="60" t="str">
        <x:v>zhou2026hierarchical_attacks</x:v>
      </x:c>
      <x:c r="D74" s="60" t="str">
        <x:v>Hierarchical Attacks for Multi-Modal Multi-Agent Reasoning</x:v>
      </x:c>
      <x:c r="E74" s="60" t="str">
        <x:v>standard_attack</x:v>
      </x:c>
      <x:c r="F74" s="60" t="str">
        <x:v>metadata/scope/category/evidence/metric</x:v>
      </x:c>
      <x:c r="G74" s="60" t="str">
        <x:v>scope=core_security; category=attack</x:v>
      </x:c>
      <x:c r="H74" s="60" t="str">
        <x:v>Reclassify paper-level role as evaluation/attack suite; split claim-level failure categories; record ASR as clean-correct-sample rate; do not treat all variants as equally interaction-native.</x:v>
      </x:c>
      <x:c r="I74" s="60" t="str">
        <x:v>Several attack variants manipulate native MAS communication, identity, shared state, and collective reasoning, although perception-only variants are inherited multimodal attacks.</x:v>
      </x:c>
      <x:c r="J74" s="60" t="str">
        <x:v>CVPR pp. 42333-42335 Sec. 3 and Fig. 2; p. 42335 Sec. 4.1; p. 42336 Table 2; p. 42338 Fig. 5.</x:v>
      </x:c>
      <x:c r="K74" s="60" t="str">
        <x:v>yes</x:v>
      </x:c>
    </x:row>
    <x:row r="75">
      <x:c r="A75" s="60" t="str">
        <x:v>medium</x:v>
      </x:c>
      <x:c r="B75" s="60" t="n">
        <x:v>34</x:v>
      </x:c>
      <x:c r="C75" s="60" t="str">
        <x:v>kong2026web_fraud</x:v>
      </x:c>
      <x:c r="D75" s="60" t="str">
        <x:v>Web Fraud Attacks Against LLM-Driven Multi-Agent Systems</x:v>
      </x:c>
      <x:c r="E75" s="60" t="str">
        <x:v>standard_attack</x:v>
      </x:c>
      <x:c r="F75" s="60" t="str">
        <x:v>metadata/scope/category/evidence/metric</x:v>
      </x:c>
      <x:c r="G75" s="60" t="str">
        <x:v>scope=core_security; category=attack</x:v>
      </x:c>
      <x:c r="H75" s="60" t="str">
        <x:v>Keep ASR definition tied to auditor risk label and ten repeats; separate observed recommendation failure from speculative downstream harm.</x:v>
      </x:c>
      <x:c r="I75" s="60" t="str">
        <x:v>The attack’s success depends on collective recommendation and aggregation workflow.</x:v>
      </x:c>
      <x:c r="J75" s="60" t="str">
        <x:v>PDF Sec. 3.1 p. 14021 Fig. 1; Sec. 3.2 pp. 14022-14023 Table 2; Sec. 4.1 pp. 14023-14024 Fig. 3; Sec. 4.2 pp. 14024-14025 Fig. 4/Table 3.</x:v>
      </x:c>
      <x:c r="K75" s="60" t="str">
        <x:v>yes</x:v>
      </x:c>
    </x:row>
    <x:row r="76">
      <x:c r="A76" s="60" t="str">
        <x:v>high</x:v>
      </x:c>
      <x:c r="B76" s="60" t="n">
        <x:v>35</x:v>
      </x:c>
      <x:c r="C76" s="60" t="str">
        <x:v>huang2025faulty_agents</x:v>
      </x:c>
      <x:c r="D76" s="60" t="str">
        <x:v>On the Resilience of LLM-Based Multi-Agent Collaboration with Faulty Agents</x:v>
      </x:c>
      <x:c r="E76" s="60" t="str">
        <x:v>standard_attack</x:v>
      </x:c>
      <x:c r="F76" s="60" t="str">
        <x:v>metadata/scope/category/evidence/metric</x:v>
      </x:c>
      <x:c r="G76" s="60" t="str">
        <x:v>scope=security_relevant; category=attack</x:v>
      </x:c>
      <x:c r="H76" s="60" t="str">
        <x:v>Reclassify from attack to evaluation; scope security_relevant; record 5.5% and 96.4% in their exact structural/error-recovery contexts; tag fault model.</x:v>
      </x:c>
      <x:c r="I76" s="60" t="str">
        <x:v>The study covers malicious as well as clumsy/faulty agents and is fundamentally a resilience/reliability evaluation rather than a purely adversarial attack paper.</x:v>
      </x:c>
      <x:c r="J76" s="60" t="str">
        <x:v>PDF Sec. 3 pp. 3-4 Fig. 2; Sec. 4 pp. 4-6 Tables 1-2; Sec. 5 pp. 6-8; Sec. 6 pp. 8-9 Fig. 6.</x:v>
      </x:c>
      <x:c r="K76" s="60" t="str">
        <x:v>yes</x:v>
      </x:c>
    </x:row>
    <x:row r="77">
      <x:c r="A77" s="60" t="str">
        <x:v>high</x:v>
      </x:c>
      <x:c r="B77" s="60" t="n">
        <x:v>36</x:v>
      </x:c>
      <x:c r="C77" s="60" t="str">
        <x:v>hagag2026architecture_matters</x:v>
      </x:c>
      <x:c r="D77" s="60" t="str">
        <x:v>Architecture Matters for Multi-Agent Security</x:v>
      </x:c>
      <x:c r="E77" s="60" t="str">
        <x:v>standard_attack</x:v>
      </x:c>
      <x:c r="F77" s="60" t="str">
        <x:v>metadata/scope/category/evidence/metric</x:v>
      </x:c>
      <x:c r="G77" s="60" t="str">
        <x:v>scope=core_security; category=attack</x:v>
      </x:c>
      <x:c r="H77" s="60" t="str">
        <x:v>Correct venue to AIWILD workshop at ICML 2026; change primary category to evaluation; preserve stagewise metrics and ratio context.</x:v>
      </x:c>
      <x:c r="I77" s="60" t="str">
        <x:v>Direct harmful-task execution is measured as an architectural composition effect.</x:v>
      </x:c>
      <x:c r="J77" s="60" t="str">
        <x:v>ArXiv Sec. 4 pp. 4-5 and Tables 8-10; Sec. 4.4 p. 5; Secs. 5.1-5.3 pp. 5-8; Sec. 8 p. 9.</x:v>
      </x:c>
      <x:c r="K77" s="60" t="str">
        <x:v>yes</x:v>
      </x:c>
    </x:row>
    <x:row r="78">
      <x:c r="A78" s="60" t="str">
        <x:v>high</x:v>
      </x:c>
      <x:c r="B78" s="60" t="n">
        <x:v>37</x:v>
      </x:c>
      <x:c r="C78" s="60" t="str">
        <x:v>ren2026financial_fraud</x:v>
      </x:c>
      <x:c r="D78" s="60" t="str">
        <x:v>When AI Agents Collude Online: Financial Fraud Risks by Collaborative LLM Agents on Social Platforms</x:v>
      </x:c>
      <x:c r="E78" s="60" t="str">
        <x:v>standard_attack</x:v>
      </x:c>
      <x:c r="F78" s="60" t="str">
        <x:v>metadata/scope/category/evidence/metric</x:v>
      </x:c>
      <x:c r="G78" s="60" t="str">
        <x:v>scope=core_security; category=attack</x:v>
      </x:c>
      <x:c r="H78" s="60" t="str">
        <x:v>Change paper-level role to evaluation/benchmark; do not call simulated transfers real financial loss; record each denominator separately; verify final ICLR canonical PDF.</x:v>
      </x:c>
      <x:c r="I78" s="60" t="str">
        <x:v>Coalition behavior, population composition, communication depth, and victim conversion are central.</x:v>
      </x:c>
      <x:c r="J78" s="60" t="str">
        <x:v>Full text Sec. 3 pp. 3-5 and Fig. 2; Sec. 3.3 p. 5; Sec. 4.1 p. 6; Sec. 4.3 p. 8 Table 2; Sec. 5 pp. 11-13 Tables 9-10.</x:v>
      </x:c>
      <x:c r="K78" s="60" t="str">
        <x:v>yes</x:v>
      </x:c>
    </x:row>
    <x:row r="79">
      <x:c r="A79" s="60" t="str">
        <x:v>high</x:v>
      </x:c>
      <x:c r="B79" s="60" t="n">
        <x:v>38</x:v>
      </x:c>
      <x:c r="C79" s="60" t="str">
        <x:v>bowers2025code_injection</x:v>
      </x:c>
      <x:c r="D79" s="60" t="str">
        <x:v>Analyzing Code Injection Attacks on LLM-based Multi-Agent Systems in Software Development</x:v>
      </x:c>
      <x:c r="E79" s="60" t="str">
        <x:v>standard_attack</x:v>
      </x:c>
      <x:c r="F79" s="60" t="str">
        <x:v>metadata/scope/category/evidence/metric</x:v>
      </x:c>
      <x:c r="G79" s="60" t="str">
        <x:v>scope=core_security; category=attack</x:v>
      </x:c>
      <x:c r="H79" s="60" t="str">
        <x:v>Change primary role to evaluation; retain exact 86.59%/71.95% model conditions; do not report production compromise or exfiltration as observed.</x:v>
      </x:c>
      <x:c r="I79" s="60" t="str">
        <x:v>An insider changes shared code and downstream agents’ review behavior determines whether the injected function survives.</x:v>
      </x:c>
      <x:c r="J79" s="60" t="str">
        <x:v>Full text Secs. 4-5 pp. 3-4, Fig. 1 and Listing 1; Secs. 5.3-6 p. 4; Sec. 7 pp. 5-6 Table III; Sec. 8 p. 6.</x:v>
      </x:c>
      <x:c r="K79" s="60" t="str">
        <x:v>yes</x:v>
      </x:c>
    </x:row>
    <x:row r="80">
      <x:c r="A80" s="60" t="str">
        <x:v>high</x:v>
      </x:c>
      <x:c r="B80" s="60" t="n">
        <x:v>39</x:v>
      </x:c>
      <x:c r="C80" s="60" t="str">
        <x:v>jha2026control_flow_hijacking</x:v>
      </x:c>
      <x:c r="D80" s="60" t="str">
        <x:v>Breaking and Fixing Defenses Against Control-Flow Hijacking in Multi-Agent Systems</x:v>
      </x:c>
      <x:c r="E80" s="60" t="str">
        <x:v>standard_attack</x:v>
      </x:c>
      <x:c r="F80" s="60" t="str">
        <x:v>metadata/scope/category/evidence/metric</x:v>
      </x:c>
      <x:c r="G80" s="60" t="str">
        <x:v>scope=core_security; category=attack</x:v>
      </x:c>
      <x:c r="H80" s="60" t="str">
        <x:v>Reclassify primary from attack to defense; code attack and defense claims separately; qualify zero ASR; preserve trusted-orchestrator/full-transition-visibility assumption.</x:v>
      </x:c>
      <x:c r="I80" s="60" t="str">
        <x:v>Control-flow integrity, delegated authority, and partial orchestrator visibility are native MAS concerns.</x:v>
      </x:c>
      <x:c r="J80" s="60" t="str">
        <x:v>Full text Sec. 2 p. 2 Figs. 1-3; Sec. 4 pp. 4-5 Fig. 4; Sec. 5 p. 6; Secs. 6.3-6.4 pp. 8-9 Tables 1-3.</x:v>
      </x:c>
      <x:c r="K80" s="60" t="str">
        <x:v>yes</x:v>
      </x:c>
    </x:row>
    <x:row r="81">
      <x:c r="A81" s="60" t="str">
        <x:v>high</x:v>
      </x:c>
      <x:c r="B81" s="60" t="n">
        <x:v>40</x:v>
      </x:c>
      <x:c r="C81" s="60" t="str">
        <x:v>zhang2026embedding_defenses</x:v>
      </x:c>
      <x:c r="D81" s="60" t="str">
        <x:v>When Embedding-Based Defenses Fail: Rethinking Safety in LLM-Based Multi-Agent Systems</x:v>
      </x:c>
      <x:c r="E81" s="60" t="str">
        <x:v>standard_attack</x:v>
      </x:c>
      <x:c r="F81" s="60" t="str">
        <x:v>metadata/scope/category/evidence/metric</x:v>
      </x:c>
      <x:c r="G81" s="60" t="str">
        <x:v>scope=core_security; category=attack</x:v>
      </x:c>
      <x:c r="H81" s="60" t="str">
        <x:v>Reclassify primary from attack to defense; separate task ASR and attribution AUROC; record access to logits as a strong assumption; do not claim confidence is generally robust.</x:v>
      </x:c>
      <x:c r="I81" s="60" t="str">
        <x:v>The attacks exploit repeated inter-agent communication and the observation model of topology-aware defenses.</x:v>
      </x:c>
      <x:c r="J81" s="60" t="str">
        <x:v>Full text Sec. 5 pp. 4-5 Fig. 2; Sec. 6 pp. 5-6; Sec. 7.1 p. 6; Sec. 7.2 pp. 6-7 Tables 1/3; Sec. 8 pp. 7-8 Tables 4-5.</x:v>
      </x:c>
      <x:c r="K81" s="60" t="str">
        <x:v>yes</x:v>
      </x:c>
    </x:row>
    <x:row r="82">
      <x:c r="A82" s="60" t="str">
        <x:v>medium</x:v>
      </x:c>
      <x:c r="B82" s="60" t="n">
        <x:v>41</x:v>
      </x:c>
      <x:c r="C82" s="60" t="str">
        <x:v>kraidia2026collaboration_fails</x:v>
      </x:c>
      <x:c r="D82" s="60" t="str">
        <x:v>When collaboration fails: persuasion driven adversarial influence in multi agent large language model debate</x:v>
      </x:c>
      <x:c r="E82" s="60" t="str">
        <x:v>standard_attack</x:v>
      </x:c>
      <x:c r="F82" s="60" t="str">
        <x:v>metadata/scope/category/evidence/metric</x:v>
      </x:c>
      <x:c r="G82" s="60" t="str">
        <x:v>scope=core_security; category=attack</x:v>
      </x:c>
      <x:c r="H82" s="60" t="str">
        <x:v>Retain as attack-primary; record the two metric components separately; do not quote 10–40% or &gt;30% without “across tested settings”; do not equate benchmark vote corruption with real-world harm.</x:v>
      </x:c>
      <x:c r="I82" s="60" t="str">
        <x:v>Intentional malicious-member persuasion alters a collective decision through explicit inter-agent deliberation; this is not merely generic performance degradation.</x:v>
      </x:c>
      <x:c r="J82" s="60" t="str">
        <x:v>Publisher HTML: abstract and Threat model &amp; Attack design; paper pp. 4-5 Fig. 1/Algorithm 1; pp. 10-11 setup/metrics; pp. 14-16 Figs. 11-13 for mitigation.</x:v>
      </x:c>
      <x:c r="K82" s="60" t="str">
        <x:v>yes</x:v>
      </x:c>
    </x:row>
    <x:row r="83">
      <x:c r="A83" s="60" t="str">
        <x:v>high</x:v>
      </x:c>
      <x:c r="B83" s="60" t="n">
        <x:v>42</x:v>
      </x:c>
      <x:c r="C83" s="60" t="str">
        <x:v>xu2026trust_paradox</x:v>
      </x:c>
      <x:c r="D83" s="60" t="str">
        <x:v>The Trust Paradox in LLM-Based Multi-Agent Systems: When Collaboration Becomes a Security Vulnerability</x:v>
      </x:c>
      <x:c r="E83" s="60" t="str">
        <x:v>standard_attack</x:v>
      </x:c>
      <x:c r="F83" s="60" t="str">
        <x:v>metadata/scope/category/evidence/metric</x:v>
      </x:c>
      <x:c r="G83" s="60" t="str">
        <x:v>scope=security_relevant; category=attack</x:v>
      </x:c>
      <x:c r="H83" s="60" t="str">
        <x:v>Reclassify primary from attack to evaluation; downgrade whole-paper scope to security_relevant while retaining core-security claim records for malicious over-exposure; separate OER/AD units; add final IEEE pages when available.</x:v>
      </x:c>
      <x:c r="I83" s="60" t="str">
        <x:v>The paper mixes ordinary over-sharing and malicious requests; confidentiality/authorization claims are security-relevant, but not every trust-utility result is an attack claim.</x:v>
      </x:c>
      <x:c r="J83" s="60" t="str">
        <x:v>ArXiv full text Sec. 3 pp. 3-4 Eqs. 2-4; Sec. 4 pp. 4-5 Tables I-III; Sec. 5 pp. 6-10 Figs. 4-9.</x:v>
      </x:c>
      <x:c r="K83" s="60" t="str">
        <x:v>yes</x:v>
      </x:c>
    </x:row>
    <x:row r="84">
      <x:c r="A84" s="60" t="str">
        <x:v>medium</x:v>
      </x:c>
      <x:c r="B84" s="60" t="n">
        <x:v>43</x:v>
      </x:c>
      <x:c r="C84" s="60" t="str">
        <x:v>lee2026prompt_infection</x:v>
      </x:c>
      <x:c r="D84" s="60" t="str">
        <x:v>Prompt Infection: LLM-to-LLM Prompt Injection within Multi-agent Systems</x:v>
      </x:c>
      <x:c r="E84" s="60" t="str">
        <x:v>standard_attack</x:v>
      </x:c>
      <x:c r="F84" s="60" t="str">
        <x:v>metadata/scope/category/evidence/metric</x:v>
      </x:c>
      <x:c r="G84" s="60" t="str">
        <x:v>scope=core_security; category=attack</x:v>
      </x:c>
      <x:c r="H84" s="60" t="str">
        <x:v>Use published three-author version; record event/year carefully; keep attack-primary but mark evidence tier as workshop; split propagation metric from downstream impacts and per-workflow ASR.</x:v>
      </x:c>
      <x:c r="I84" s="60" t="str">
        <x:v>Propagation, role-specific payloads, population containment, and cross-agent data/action effects depend directly on explicit interaction.</x:v>
      </x:c>
      <x:c r="J84" s="60" t="str">
        <x:v>ArXiv/Springer technical text Sec. 3 pp. 3-4 Fig. 1; Sec. 4.1 p. 5 Fig. 4; Sec. 4.2 pp. 6-7 Fig. 6; Sec. 6 pp. 8-9 Table 2/Fig. 7.</x:v>
      </x:c>
      <x:c r="K84" s="60" t="str">
        <x:v>yes</x:v>
      </x:c>
    </x:row>
    <x:row r="85">
      <x:c r="A85" s="60" t="str">
        <x:v>high</x:v>
      </x:c>
      <x:c r="B85" s="60" t="n">
        <x:v>44</x:v>
      </x:c>
      <x:c r="C85" s="60" t="str">
        <x:v>yang2026among_us</x:v>
      </x:c>
      <x:c r="D85" s="60" t="str">
        <x:v>Among Us: Measuring and Mitigating Malicious Contributions in Model Collaboration Systems</x:v>
      </x:c>
      <x:c r="E85" s="60" t="str">
        <x:v>standard_attack</x:v>
      </x:c>
      <x:c r="F85" s="60" t="str">
        <x:v>metadata/scope/category/evidence/metric</x:v>
      </x:c>
      <x:c r="G85" s="60" t="str">
        <x:v>scope=core_security; category=attack</x:v>
      </x:c>
      <x:c r="H85" s="60" t="str">
        <x:v>Reclassify primary from attack to evaluation; downgrade whole-paper scope to security_relevant; split text-exchange core claims from API/logit/weight adjacent claims; never call performance-degradation percentages ASR.</x:v>
      </x:c>
      <x:c r="I85" s="60" t="str">
        <x:v>The malicious-contributor problem is important, but only a subset of the four collaboration levels cleanly satisfies the SoK’s strict LLM-MAS interaction boundary.</x:v>
      </x:c>
      <x:c r="J85" s="60" t="str">
        <x:v>ACL paper Abstract p. 1; Secs. 2.1–2.2 pp. 2-4; Appendix A.1 p. 14 Table 4.</x:v>
      </x:c>
      <x:c r="K85" s="60" t="str">
        <x:v>yes</x:v>
      </x:c>
    </x:row>
    <x:row r="86">
      <x:c r="A86" s="60" t="str">
        <x:v>medium</x:v>
      </x:c>
      <x:c r="B86" s="60" t="n">
        <x:v>45</x:v>
      </x:c>
      <x:c r="C86" s="60" t="str">
        <x:v>yu2025codes</x:v>
      </x:c>
      <x:c r="D86" s="60" t="str">
        <x:v>LLM-based Multi-Agents System Attack via Continuous Optimization with Discrete Efficient Search</x:v>
      </x:c>
      <x:c r="E86" s="60" t="str">
        <x:v>standard_attack</x:v>
      </x:c>
      <x:c r="F86" s="60" t="str">
        <x:v>metadata/scope/category/evidence/metric</x:v>
      </x:c>
      <x:c r="G86" s="60" t="str">
        <x:v>scope=core_security; category=attack</x:v>
      </x:c>
      <x:c r="H86" s="60" t="str">
        <x:v>Keep attack-primary; preserve single-intervention constraint; do not infer population-scale epidemic behavior or compare its success directly with agent-fraction infection metrics.</x:v>
      </x:c>
      <x:c r="I86" s="60" t="str">
        <x:v>The main claim is interaction-dependent self-replication and failure of compromise containment.</x:v>
      </x:c>
      <x:c r="J86" s="60" t="str">
        <x:v>Published PDF Abstract/Introduction pp. 1-2; threat scenarios throughout Sec. 2; method Sec. 3.2 p. 5 Algorithms 1-2; result tables in evaluation section.</x:v>
      </x:c>
      <x:c r="K86" s="60" t="str">
        <x:v>yes</x:v>
      </x:c>
    </x:row>
    <x:row r="87">
      <x:c r="A87" s="60" t="str">
        <x:v>high</x:v>
      </x:c>
      <x:c r="B87" s="60" t="n">
        <x:v>46</x:v>
      </x:c>
      <x:c r="C87" s="60" t="str">
        <x:v>tian2023evil_geniuses</x:v>
      </x:c>
      <x:c r="D87" s="60" t="str">
        <x:v>Evil Geniuses: Delving into the Safety of LLM-based Agents</x:v>
      </x:c>
      <x:c r="E87" s="60" t="str">
        <x:v>standard_attack</x:v>
      </x:c>
      <x:c r="F87" s="60" t="str">
        <x:v>metadata/scope/category/evidence/metric</x:v>
      </x:c>
      <x:c r="G87" s="60" t="str">
        <x:v>scope=security_relevant; category=attack</x:v>
      </x:c>
      <x:c r="H87" s="60" t="str">
        <x:v>Downgrade from core_security to security_relevant; mark preprint; split attack-generator evidence from target-system evidence; do not treat Table 3’s 1/2/7 comparison as a clean interaction causal estimate.</x:v>
      </x:c>
      <x:c r="I87" s="60" t="str">
        <x:v>Some claims concern interaction-amplified jailbreak risk, but the paper predates a precise independently-stateful-agent boundary and several results are general role-prompt jailbreak findings.</x:v>
      </x:c>
      <x:c r="J87" s="60" t="str">
        <x:v>ArXiv v2 Sec. 4 p. 5 setup; p. 6 Tables 2-3 for interaction and quantity comparisons; Secs. 3-4 Figs. 2-4 for EG and target settings.</x:v>
      </x:c>
      <x:c r="K87" s="60" t="str">
        <x:v>yes</x:v>
      </x:c>
    </x:row>
    <x:row r="88">
      <x:c r="A88" s="60" t="str">
        <x:v>high</x:v>
      </x:c>
      <x:c r="B88" s="60" t="n">
        <x:v>47</x:v>
      </x:c>
      <x:c r="C88" s="60" t="str">
        <x:v>tan2024wolf_within</x:v>
      </x:c>
      <x:c r="D88" s="60" t="str">
        <x:v>The Wolf Within: Covert Injection of Malice into MLLM Societies via an MLLM Operative</x:v>
      </x:c>
      <x:c r="E88" s="60" t="str">
        <x:v>standard_attack</x:v>
      </x:c>
      <x:c r="F88" s="60" t="str">
        <x:v>metadata/scope/category/evidence/metric</x:v>
      </x:c>
      <x:c r="G88" s="60" t="str">
        <x:v>scope=core_security; category=attack</x:v>
      </x:c>
      <x:c r="H88" s="60" t="str">
        <x:v>Record ReGenAI workshop rather than CVPR main; primary failure is one-hop safety compromise, not contagion; flag manual metric and denominator; use restrained evidence language.</x:v>
      </x:c>
      <x:c r="I88" s="60" t="str">
        <x:v>The malicious objective is optimized through an explicit two-agent multimodal path and depends on inter-agent forwarding.</x:v>
      </x:c>
      <x:c r="J88" s="60" t="str">
        <x:v>ArXiv v2 Sec. 3 p. 3 Eq. 2/Fig. 2; Sec. 4 pp. 4-5 Table 1/Figs. 2-4.</x:v>
      </x:c>
      <x:c r="K88" s="60" t="str">
        <x:v>yes</x:v>
      </x:c>
    </x:row>
    <x:row r="89">
      <x:c r="A89" s="60" t="str">
        <x:v>high</x:v>
      </x:c>
      <x:c r="B89" s="60" t="n">
        <x:v>48</x:v>
      </x:c>
      <x:c r="C89" s="60" t="str">
        <x:v>zheng2025integrity_attacks</x:v>
      </x:c>
      <x:c r="D89" s="60" t="str">
        <x:v>Demonstrations of Integrity Attacks in Multi-Agent Systems</x:v>
      </x:c>
      <x:c r="E89" s="60" t="str">
        <x:v>standard_attack</x:v>
      </x:c>
      <x:c r="F89" s="60" t="str">
        <x:v>metadata/scope/category/evidence/metric</x:v>
      </x:c>
      <x:c r="G89" s="60" t="str">
        <x:v>scope=core_security; category=attack</x:v>
      </x:c>
      <x:c r="H89" s="60" t="str">
        <x:v>Keep attack-primary but mark preprint; replace generic “integrity” with claim-specific failure fields; do not compare contribution-score changes as ASR; avoid treating monitor bypass as complete observability impossibility.</x:v>
      </x:c>
      <x:c r="I89" s="60" t="str">
        <x:v>Intentional self-interested members manipulate MAS accounting/coordination while preserving apparent task function.</x:v>
      </x:c>
      <x:c r="J89" s="60" t="str">
        <x:v>ArXiv v1 Abstract p. 1; Sec. 3 pp. 4-6; Sec. 4 p. 6; Sec. 5.3 p. 9 Table 3; Appendix C p. 13 Table 6.</x:v>
      </x:c>
      <x:c r="K89" s="60" t="str">
        <x:v>yes</x:v>
      </x:c>
    </x:row>
    <x:row r="90">
      <x:c r="A90" s="60" t="str">
        <x:v>high</x:v>
      </x:c>
      <x:c r="B90" s="60" t="n">
        <x:v>49</x:v>
      </x:c>
      <x:c r="C90" s="60" t="str">
        <x:v>xie2025_whos_the_mole</x:v>
      </x:c>
      <x:c r="D90" s="60" t="str">
        <x:v>Who's the Mole? Modeling and Detecting Intention-Hiding Malicious Agents in LLM-Based Multi-Agent Systems</x:v>
      </x:c>
      <x:c r="E90" s="60" t="str">
        <x:v>standard_attack</x:v>
      </x:c>
      <x:c r="F90" s="60" t="str">
        <x:v>metadata/scope/category/evidence/metric</x:v>
      </x:c>
      <x:c r="G90" s="60" t="str">
        <x:v>scope=core_security; category=attack</x:v>
      </x:c>
      <x:c r="H90" s="60" t="str">
        <x:v>Reclassify paper primary from attack to evaluation; mark preprint; split four mechanisms and one defense; do not equate task-cost degradation with a universal security impact.</x:v>
      </x:c>
      <x:c r="I90" s="60" t="str">
        <x:v>Intentional member compromise, interaction-dependent goal/decision degradation, membership monitoring, removal, and partial observability are core MAS security concerns.</x:v>
      </x:c>
      <x:c r="J90" s="60" t="str">
        <x:v>ArXiv v2 Sec. 4.2 pp. 4-6; Sec. 4.4 pp. 6-7 Figs. 3-6; Sec. 5.1 p. 8 Table 1.</x:v>
      </x:c>
      <x:c r="K90" s="60" t="str">
        <x:v>yes</x:v>
      </x:c>
    </x:row>
    <x:row r="91">
      <x:c r="A91" s="60" t="str">
        <x:v>high</x:v>
      </x:c>
      <x:c r="B91" s="60" t="n">
        <x:v>50</x:v>
      </x:c>
      <x:c r="C91" s="60" t="str">
        <x:v>zhu2025_collaborative_shadows</x:v>
      </x:c>
      <x:c r="D91" s="60" t="str">
        <x:v>Collaborative Shadows: Distributed Backdoor Attacks in LLM-Based Multi-Agent Systems</x:v>
      </x:c>
      <x:c r="E91" s="60" t="str">
        <x:v>standard_attack</x:v>
      </x:c>
      <x:c r="F91" s="60" t="str">
        <x:v>metadata/scope/category/evidence/metric</x:v>
      </x:c>
      <x:c r="G91" s="60" t="str">
        <x:v>scope=core_security; category=attack</x:v>
      </x:c>
      <x:c r="H91" s="60" t="str">
        <x:v>Keep attack-primary but label preliminary; separate ASR from benign accuracy/accidental triggers; avoid broad impossibility claim about local scanning; code confidentiality only for relevant payloads.</x:v>
      </x:c>
      <x:c r="I91" s="60" t="str">
        <x:v>The attack depends on distributed authority, role-private tools, cross-agent sequencing, and failure of local inspection to compose.</x:v>
      </x:c>
      <x:c r="J91" s="60" t="str">
        <x:v>ArXiv v1 Sec. 3 pp. 4-6 Fig. 2; Sec. 4.2 p. 7 and App. B pp. 15-17; Sec. 4.3 pp. 7-9 Table 1/Figs. 3-4; Sec. 5.1 p. 9 Fig. 5.</x:v>
      </x:c>
      <x:c r="K91" s="60" t="str">
        <x:v>yes</x:v>
      </x:c>
    </x:row>
    <x:row r="92">
      <x:c r="A92" s="60" t="str">
        <x:v>high</x:v>
      </x:c>
      <x:c r="B92" s="60" t="n">
        <x:v>51</x:v>
      </x:c>
      <x:c r="C92" s="60" t="str">
        <x:v>liang2025_dont_trust_upstream</x:v>
      </x:c>
      <x:c r="D92" s="60" t="str">
        <x:v>Don't Trust Your Upstream: Exploiting LLM Multi-Agent System via Topology-Guided Adversarial Propagation</x:v>
      </x:c>
      <x:c r="E92" s="60" t="str">
        <x:v>standard_attack</x:v>
      </x:c>
      <x:c r="F92" s="60" t="str">
        <x:v>metadata/scope/category/evidence/metric</x:v>
      </x:c>
      <x:c r="G92" s="60" t="str">
        <x:v>scope=core_security; category=attack</x:v>
      </x:c>
      <x:c r="H92" s="60" t="str">
        <x:v>Keep attack-primary and core scope; label preprint; distinguish reconstruction F1, ASR, application 17/20, and blocking rate; qualify “real-world”; split topology inference from authority impact.</x:v>
      </x:c>
      <x:c r="I92" s="60" t="str">
        <x:v>Topology confidentiality, graph reachability, multi-hop compromise, privilege distribution, and graph-aware intervention are native MAS security objects.</x:v>
      </x:c>
      <x:c r="J92" s="60" t="str">
        <x:v>ArXiv v2 Sec. V pp. 5-10 Fig. 3; Sec. VII-D pp. 12-14 Table III; Sec. VII-E p. 15 Table VII; Sec. VII-F pp. 15-16 Tables VIII-X.</x:v>
      </x:c>
      <x:c r="K92" s="60" t="str">
        <x:v>yes</x:v>
      </x:c>
    </x:row>
    <x:row r="93">
      <x:c r="A93" s="60" t="str">
        <x:v>high</x:v>
      </x:c>
      <x:c r="B93" s="60" t="n">
        <x:v>52</x:v>
      </x:c>
      <x:c r="C93" s="60" t="str">
        <x:v>weckbecker2026_thought_virus</x:v>
      </x:c>
      <x:c r="D93" s="60" t="str">
        <x:v>Thought Virus: Viral Misalignment via Subliminal Prompting in Multi-Agent Systems</x:v>
      </x:c>
      <x:c r="E93" s="60" t="str">
        <x:v>standard_attack</x:v>
      </x:c>
      <x:c r="F93" s="60" t="str">
        <x:v>metadata/scope/category/evidence/metric</x:v>
      </x:c>
      <x:c r="G93" s="60" t="str">
        <x:v>scope=core_security; category=attack</x:v>
      </x:c>
      <x:c r="H93" s="60" t="str">
        <x:v>Downgrade scope to security_relevant; do not translate fold increase into ASR; qualify “misalignment” and monitoring claims; retain as an emerging observer/propagation perspective rather than headline evidence.</x:v>
      </x:c>
      <x:c r="I93" s="60" t="str">
        <x:v>Interaction-dependent covert propagation and monitorability are relevant, but the primary outcomes are controlled concept preferences/truthfulness rather than a conventional adversarial system compromise.</x:v>
      </x:c>
      <x:c r="J93" s="60" t="str">
        <x:v>ArXiv v1 Abstract p. 1; Sec. 3 pp. 4-5 Figs. 2-3; Sec. 4 pp. 5-8 Tables 1-2; discussion pp. 8-9.</x:v>
      </x:c>
      <x:c r="K93" s="60" t="str">
        <x:v>yes</x:v>
      </x:c>
    </x:row>
    <x:row r="94">
      <x:c r="A94" s="60" t="str">
        <x:v>high</x:v>
      </x:c>
      <x:c r="B94" s="60" t="n">
        <x:v>53</x:v>
      </x:c>
      <x:c r="C94" s="60" t="str">
        <x:v>lupinacci2025darkside</x:v>
      </x:c>
      <x:c r="D94" s="60" t="str">
        <x:v>The Dark Side of LLMs: Agent-based Attack Vectors for System-level Compromise</x:v>
      </x:c>
      <x:c r="E94" s="60" t="str">
        <x:v>standard_attack</x:v>
      </x:c>
      <x:c r="F94" s="60" t="str">
        <x:v>metadata/scope/category/evidence/metric</x:v>
      </x:c>
      <x:c r="G94" s="60" t="str">
        <x:v>scope=core_security; category=attack</x:v>
      </x:c>
      <x:c r="H94" s="60" t="str">
        <x:v>Downgrade paper scope to security_relevant; separate MAS condition from single-agent comparators; state 100% as 18/18 tested model backbones; do not generalize to universal compromise.</x:v>
      </x:c>
      <x:c r="I94" s="60" t="str">
        <x:v>The inter-agent provenance/authorization claim is core, but the paper as a whole is a broader agent system-compromise comparison and not exclusively MAS.</x:v>
      </x:c>
      <x:c r="J94" s="60" t="str">
        <x:v>ArXiv v6 Abstract p. 1; attack-surface and inter-agent sections pp. 5-6; evaluation pp. 5-6.</x:v>
      </x:c>
      <x:c r="K94" s="60" t="str">
        <x:v>yes</x:v>
      </x:c>
    </x:row>
    <x:row r="95">
      <x:c r="A95" s="60" t="str">
        <x:v>high</x:v>
      </x:c>
      <x:c r="B95" s="60" t="n">
        <x:v>54</x:v>
      </x:c>
      <x:c r="C95" s="60" t="str">
        <x:v>sun2026insider</x:v>
      </x:c>
      <x:c r="D95" s="60" t="str">
        <x:v>Insider Attacks in Multi-Agent LLM Consensus Systems</x:v>
      </x:c>
      <x:c r="E95" s="60" t="str">
        <x:v>standard_attack</x:v>
      </x:c>
      <x:c r="F95" s="60" t="str">
        <x:v>metadata/scope/category/evidence/metric</x:v>
      </x:c>
      <x:c r="G95" s="60" t="str">
        <x:v>scope=core_security; category=attack</x:v>
      </x:c>
      <x:c r="H95" s="60" t="str">
        <x:v>Keep core attack claim but mark preliminary; do not compare with BFT fault thresholds; separate agreement rate from episode duration; avoid category-level conclusion based on this paper.</x:v>
      </x:c>
      <x:c r="I95" s="60" t="str">
        <x:v>Agreement, termination, malicious membership, and adaptive protocol-valid influence are inherently multi-party.</x:v>
      </x:c>
      <x:c r="J95" s="60" t="str">
        <x:v>ArXiv v1 Abstract p. 1; problem formulation pp. 1-3; method pp. 2-4; experiment/results pp. 3-4.</x:v>
      </x:c>
      <x:c r="K95" s="60" t="str">
        <x:v>yes</x:v>
      </x:c>
    </x:row>
    <x:row r="96">
      <x:c r="A96" s="60" t="str">
        <x:v>high</x:v>
      </x:c>
      <x:c r="B96" s="60" t="n">
        <x:v>55</x:v>
      </x:c>
      <x:c r="C96" s="60" t="str">
        <x:v>ahad2026sif</x:v>
      </x:c>
      <x:c r="D96" s="60" t="str">
        <x:v>Semantic Intent Fragmentation: A Single-Shot Compositional Attack on Multi-Agent AI Pipelines</x:v>
      </x:c>
      <x:c r="E96" s="60" t="str">
        <x:v>standard_attack</x:v>
      </x:c>
      <x:c r="F96" s="60" t="str">
        <x:v>metadata/scope/category/evidence/metric</x:v>
      </x:c>
      <x:c r="G96" s="60" t="str">
        <x:v>scope=core_security; category=attack</x:v>
      </x:c>
      <x:c r="H96" s="60" t="str">
        <x:v>Downgrade scope to security_relevant/boundary; clarify 10/14 denominator; qualify “all detected/no false positives”; do not count classifier families as agents; author signoff publisher metadata.</x:v>
      </x:c>
      <x:c r="I96" s="60" t="str">
        <x:v>Strongly relevant to global-vs-local observability and composition, but may be an agentic pipeline rather than a strict LLM-MAS under the proposed boundary.</x:v>
      </x:c>
      <x:c r="J96" s="60" t="str">
        <x:v>Published/arXiv Abstract p. 1; threat/model sections; evaluation result reporting 10/14; publisher metadata for Vol. 9 No. 1 pp. 229–237.</x:v>
      </x:c>
      <x:c r="K96" s="60" t="str">
        <x:v>yes</x:v>
      </x:c>
    </x:row>
    <x:row r="97">
      <x:c r="A97" s="60" t="str">
        <x:v>high</x:v>
      </x:c>
      <x:c r="B97" s="60" t="n">
        <x:v>56</x:v>
      </x:c>
      <x:c r="C97" s="60" t="str">
        <x:v>cai2026grmp</x:v>
      </x:c>
      <x:c r="D97" s="60" t="str">
        <x:v>Graph Representation-based Model Poisoning on the Heterogeneous Internet of Agents</x:v>
      </x:c>
      <x:c r="E97" s="60" t="str">
        <x:v>standard_attack</x:v>
      </x:c>
      <x:c r="F97" s="60" t="str">
        <x:v>metadata/scope/category/evidence/metric</x:v>
      </x:c>
      <x:c r="G97" s="60" t="str">
        <x:v>scope=core_security; category=attack</x:v>
      </x:c>
      <x:c r="H97" s="60" t="str">
        <x:v>Correct author order; move from core_security to adjacent; exclude from core runtime attack counts; retain as foundational/adjacent aggregation-integrity evidence.</x:v>
      </x:c>
      <x:c r="I97" s="60" t="str">
        <x:v>Relevant distributed aggregation security, but current scope explicitly prioritizes runtime interaction and excludes training-only work without a runtime MAS consequence.</x:v>
      </x:c>
      <x:c r="J97" s="60" t="str">
        <x:v>ArXiv v3 Abstract p. 1 and method/evaluation sections; IEEE DOI metadata pp. 956–961 and formal author list.</x:v>
      </x:c>
      <x:c r="K97" s="60" t="str">
        <x:v>yes</x:v>
      </x:c>
    </x:row>
    <x:row r="98">
      <x:c r="A98" s="60" t="str">
        <x:v>high</x:v>
      </x:c>
      <x:c r="B98" s="60" t="n">
        <x:v>57</x:v>
      </x:c>
      <x:c r="C98" s="60" t="str">
        <x:v>huang2026mcpthreatmodel</x:v>
      </x:c>
      <x:c r="D98" s="60" t="str">
        <x:v>Model Context Protocol Threat Modeling and Analysis of Vulnerabilities to Prompt Injection with Tool Poisoning</x:v>
      </x:c>
      <x:c r="E98" s="60" t="str">
        <x:v>standard_attack</x:v>
      </x:c>
      <x:c r="F98" s="60" t="str">
        <x:v>metadata/scope/category/evidence/metric</x:v>
      </x:c>
      <x:c r="G98" s="60" t="str">
        <x:v>scope=core_security; category=attack</x:v>
      </x:c>
      <x:c r="H98" s="60" t="str">
        <x:v>Move from core_security to adjacent; reclassify primary from attack to evaluation/threat modeling; do not count seven clients as agents; do not include in core MAS attack denominator.</x:v>
      </x:c>
      <x:c r="I98" s="60" t="str">
        <x:v>Highly relevant protocol/tool-boundary security, but it is agentic protocol substrate evidence rather than LLM-MAS interaction among multiple agent cores.</x:v>
      </x:c>
      <x:c r="J98" s="60" t="str">
        <x:v>Published HTML Sec. 3 Fig. 1/Tables 1-6; Secs. 4-6 evaluation tables; publisher metadata Vol. 6 Issue 3 Article 84.</x:v>
      </x:c>
      <x:c r="K98" s="60" t="str">
        <x:v>yes</x:v>
      </x:c>
    </x:row>
    <x:row r="99">
      <x:c r="A99" s="60" t="str">
        <x:v>medium</x:v>
      </x:c>
      <x:c r="B99" s="60" t="n">
        <x:v>58</x:v>
      </x:c>
      <x:c r="C99" s="60" t="str">
        <x:v>xiao2026sgoatmas</x:v>
      </x:c>
      <x:c r="D99" s="60" t="str">
        <x:v>You Don't Have to Be the One Doing Evil! Locate a Scapegoat within Multi-Agent Systems for Executing Covert Attacks</x:v>
      </x:c>
      <x:c r="E99" s="60" t="str">
        <x:v>standard_attack</x:v>
      </x:c>
      <x:c r="F99" s="60" t="str">
        <x:v>metadata/scope/category/evidence/metric</x:v>
      </x:c>
      <x:c r="G99" s="60" t="str">
        <x:v>scope=core_security; category=attack</x:v>
      </x:c>
      <x:c r="H99" s="60" t="str">
        <x:v>Mark workshop evidence tier; keep attack-primary; separate system accuracy, detection, and scapegoat metrics; do not claim general covert/undetectable attack; deduplicate earlier submission.</x:v>
      </x:c>
      <x:c r="I99" s="60" t="str">
        <x:v>Malicious membership, topology-dependent influence, downstream blame shifting, and observer attribution are interaction-native.</x:v>
      </x:c>
      <x:c r="J99" s="60" t="str">
        <x:v>Workshop PDF Sec. 4 pp. 4-6 Fig. 1; Sec. 5 pp. 7-9 Tables 1-2.</x:v>
      </x:c>
      <x:c r="K99" s="60" t="str">
        <x:v>yes</x:v>
      </x:c>
    </x:row>
    <x:row r="100">
      <x:c r="A100" s="60" t="str">
        <x:v>high</x:v>
      </x:c>
      <x:c r="B100" s="60" t="n">
        <x:v>59</x:v>
      </x:c>
      <x:c r="C100" s="60" t="str">
        <x:v>han2025alignment_tipping</x:v>
      </x:c>
      <x:c r="D100" s="60" t="str">
        <x:v>Alignment Tipping Process: How Self-Evolution Pushes LLM Agents Off the Rails</x:v>
      </x:c>
      <x:c r="E100" s="60" t="str">
        <x:v>standard_attack</x:v>
      </x:c>
      <x:c r="F100" s="60" t="str">
        <x:v>metadata/scope/category/evidence/metric</x:v>
      </x:c>
      <x:c r="G100" s="60" t="str">
        <x:v>scope=security_relevant; category=attack</x:v>
      </x:c>
      <x:c r="H100" s="60" t="str">
        <x:v>Reclassify primary from attack to evaluation/failure study; retain security_relevant scope; split MAS diffusion from single-agent exploration; exclude from attack counts and use cautious “emerging evidence” language.</x:v>
      </x:c>
      <x:c r="I100" s="60" t="str">
        <x:v>The MAS diffusion pathway informs collective objective integrity, but there is no explicit adversary and half the paper is single-agent self-evolution.</x:v>
      </x:c>
      <x:c r="J100" s="60" t="str">
        <x:v>ArXiv v2 Abstract p. 1; Sec. 2 pp. 3-4 Fig. 2; Sec. 3 pp. 6-7 Figs. 4-5.</x:v>
      </x:c>
      <x:c r="K100" s="60" t="str">
        <x:v>yes</x:v>
      </x:c>
    </x:row>
    <x:row r="101">
      <x:c r="A101" s="60" t="str">
        <x:v>high</x:v>
      </x:c>
      <x:c r="B101" s="60" t="n">
        <x:v>60</x:v>
      </x:c>
      <x:c r="C101" s="60" t="str">
        <x:v>long2025funcpoison</x:v>
      </x:c>
      <x:c r="D101" s="60" t="str">
        <x:v>FuncPoison: Poisoning Function Library to Hijack Multi-agent Autonomous Driving Systems</x:v>
      </x:c>
      <x:c r="E101" s="60" t="str">
        <x:v>standard_attack</x:v>
      </x:c>
      <x:c r="F101" s="60" t="str">
        <x:v>metadata/scope/category/evidence/metric</x:v>
      </x:c>
      <x:c r="G101" s="60" t="str">
        <x:v>scope=core_security; category=attack</x:v>
      </x:c>
      <x:c r="H101" s="60" t="str">
        <x:v>Keep attack-primary; require ASR threshold in every numeric claim; separate tool-state integrity and trajectory impact; avoid real-world safety extrapolation.</x:v>
      </x:c>
      <x:c r="I101" s="60" t="str">
        <x:v>Shared tool/function supply chain, cross-agent propagation, and safety-critical joint trajectory depend on explicit role interaction.</x:v>
      </x:c>
      <x:c r="J101" s="60" t="str">
        <x:v>ArXiv v2 Abstract/Sec. 1 pp. 1-2 Fig. 1; method pp. 2-4 Figs. 2-3; Sec. 5 pp. 6-8 Table 2/Figs. 5-6.</x:v>
      </x:c>
      <x:c r="K101" s="60" t="str">
        <x:v>yes</x:v>
      </x:c>
    </x:row>
    <x:row r="102">
      <x:c r="A102" s="60" t="str">
        <x:v>medium</x:v>
      </x:c>
      <x:c r="B102" s="60" t="n">
        <x:v>61</x:v>
      </x:c>
      <x:c r="C102" s="60" t="str">
        <x:v>naik2026omni_leak</x:v>
      </x:c>
      <x:c r="D102" s="60" t="str">
        <x:v>OMNI-LEAK: Orchestrator Multi-Agent Network Induced Data Leakage</x:v>
      </x:c>
      <x:c r="E102" s="60" t="str">
        <x:v>standard_attack</x:v>
      </x:c>
      <x:c r="F102" s="60" t="str">
        <x:v>metadata/scope/category/evidence/metric</x:v>
      </x:c>
      <x:c r="G102" s="60" t="str">
        <x:v>scope=core_security; category=attack</x:v>
      </x:c>
      <x:c r="H102" s="60" t="str">
        <x:v>Keep attack-primary/core; label preprint; preserve exact success predicate; clarify agent count and seven-author list; do not generalize to all orchestrator MAS.</x:v>
      </x:c>
      <x:c r="I102" s="60" t="str">
        <x:v>Differential authority and cross-agent data flow are the central attack mechanism and failure.</x:v>
      </x:c>
      <x:c r="J102" s="60" t="str">
        <x:v>ArXiv v2 Abstract p. 1; Sec. 4.1 pp. 3-4 Figs. 2-3; Sec. 4.2 p. 4 Fig. 4; Sec. 5 pp. 4-7 Tables 1-5.</x:v>
      </x:c>
      <x:c r="K102" s="60" t="str">
        <x:v>yes</x:v>
      </x:c>
    </x:row>
    <x:row r="103">
      <x:c r="A103" s="60" t="str">
        <x:v>high</x:v>
      </x:c>
      <x:c r="B103" s="60" t="n">
        <x:v>62</x:v>
      </x:c>
      <x:c r="C103" s="60" t="str">
        <x:v>zhou2026shield_target</x:v>
      </x:c>
      <x:c r="D103" s="60" t="str">
        <x:v>From Shield to Target: Denial-of-Service Attacks on LLM-Based Agent Guardrails</x:v>
      </x:c>
      <x:c r="E103" s="60" t="str">
        <x:v>standard_attack</x:v>
      </x:c>
      <x:c r="F103" s="60" t="str">
        <x:v>metadata/scope/category/evidence/metric</x:v>
      </x:c>
      <x:c r="G103" s="60" t="str">
        <x:v>scope=security_relevant; category=attack</x:v>
      </x:c>
      <x:c r="H103" s="60" t="str">
        <x:v>Retain security_relevant rather than core; isolate MAS-specific starvation claim; separate token/latency ratios from ASR; do not label primitive unique to MAS.</x:v>
      </x:c>
      <x:c r="I103" s="60" t="str">
        <x:v>Shared-monitor resource isolation is interaction-amplified, but the underlying guardrail DoS is not MAS-native and MAS is only one of several deployment evaluations.</x:v>
      </x:c>
      <x:c r="J103" s="60" t="str">
        <x:v>ArXiv v2 Abstract p. 1; Secs. 3-5 pp. 4-7 Fig. 1; Sec. 7.2 pp. 11-12 Table 10; conclusion p. 16.</x:v>
      </x:c>
      <x:c r="K103" s="60" t="str">
        <x:v>yes</x:v>
      </x:c>
    </x:row>
    <x:row r="104">
      <x:c r="A104" s="60" t="str">
        <x:v>high</x:v>
      </x:c>
      <x:c r="B104" s="60" t="n">
        <x:v>63</x:v>
      </x:c>
      <x:c r="C104" s="60" t="str">
        <x:v>rosser2025agentbreeder</x:v>
      </x:c>
      <x:c r="D104" s="60" t="str">
        <x:v>AgentBreeder: Mitigating the AI Safety Risks of Multi-Agent Scaffolds via Self-Improvement</x:v>
      </x:c>
      <x:c r="E104" s="60" t="str">
        <x:v>cross_category</x:v>
      </x:c>
      <x:c r="F104" s="60" t="str">
        <x:v>metadata/scope/category/evidence/metric</x:v>
      </x:c>
      <x:c r="G104" s="60" t="str">
        <x:v>scope=security_relevant; category=defense</x:v>
      </x:c>
      <x:c r="H104" s="60" t="str">
        <x:v>Use the NeurIPS title and spotlight venue; merge the earlier arXiv title; recategorize from mixed defense/attack to defense/evaluation primary; do not treat the 79.4% safety uplift as attack robustness or a guarantee.</x:v>
      </x:c>
      <x:c r="I104" s="60" t="str">
        <x:v>The work evaluates safety properties of composed agent scaffolds and searches for unsafe configurations, but its primary evidence is benchmark safety under architecture search rather than a technical runtime security threat model.</x:v>
      </x:c>
      <x:c r="J104" s="60" t="str">
        <x:v>NeurIPS official program abstract for publication identity and 79.4% result; conference paper Secs. 4–5 and result figures/tables for blue/red modes and reward hacking. Exact PDF locators remain for author signoff.</x:v>
      </x:c>
      <x:c r="K104" s="60" t="str">
        <x:v>yes</x:v>
      </x:c>
    </x:row>
    <x:row r="105">
      <x:c r="A105" s="60" t="str">
        <x:v>medium</x:v>
      </x:c>
      <x:c r="B105" s="60" t="n">
        <x:v>64</x:v>
      </x:c>
      <x:c r="C105" s="60" t="str">
        <x:v>mao2025agentsafe</x:v>
      </x:c>
      <x:c r="D105" s="60" t="str">
        <x:v>AgentSafe: Safeguarding Large Language Model-based Multi-agent Systems via Hierarchical Data Management</x:v>
      </x:c>
      <x:c r="E105" s="60" t="str">
        <x:v>cross_category</x:v>
      </x:c>
      <x:c r="F105" s="60" t="str">
        <x:v>metadata/scope/category/evidence/metric</x:v>
      </x:c>
      <x:c r="G105" s="60" t="str">
        <x:v>scope=core_security; category=defense</x:v>
      </x:c>
      <x:c r="H105" s="60" t="str">
        <x:v>Keep as defense-primary; record v2/preprint status; do not call it the first systematic memory defense without qualification; make policy-label and identity assumptions explicit; do not generalize the &gt;80% figure.</x:v>
      </x:c>
      <x:c r="I105" s="60" t="str">
        <x:v>The defense enforces inter-agent authorization and memory integrity, which require separately addressable agents and cross-agent information flow.</x:v>
      </x:c>
      <x:c r="J105" s="60" t="str">
        <x:v>arXiv abstract for two-component design and &gt;80% headline; paper Sec. 3 framework and Sec. 4 experiments. Exact table/page locators require author signoff against v2 PDF.</x:v>
      </x:c>
      <x:c r="K105" s="60" t="str">
        <x:v>yes</x:v>
      </x:c>
    </x:row>
    <x:row r="106">
      <x:c r="A106" s="60" t="str">
        <x:v>medium</x:v>
      </x:c>
      <x:c r="B106" s="60" t="n">
        <x:v>65</x:v>
      </x:c>
      <x:c r="C106" s="60" t="str">
        <x:v>ebrahimi2025credibility</x:v>
      </x:c>
      <x:c r="D106" s="60" t="str">
        <x:v>An Adversary-Resistant Multi-Agent LLM System via Credibility Scoring</x:v>
      </x:c>
      <x:c r="E106" s="60" t="str">
        <x:v>cross_category</x:v>
      </x:c>
      <x:c r="F106" s="60" t="str">
        <x:v>metadata/scope/category/evidence/metric</x:v>
      </x:c>
      <x:c r="G106" s="60" t="str">
        <x:v>scope=core_security; category=defense</x:v>
      </x:c>
      <x:c r="H106" s="60" t="str">
        <x:v>Make defense the primary category; encode stable identity and trusted scoring as assumptions; do not compare the adversary-majority task result to f/n Byzantine thresholds or call it a consensus guarantee.</x:v>
      </x:c>
      <x:c r="I106" s="60" t="str">
        <x:v>The protected property and defense are defined over adversarial member contributions and multi-agent aggregation.</x:v>
      </x:c>
      <x:c r="J106" s="60" t="str">
        <x:v>ACL Anthology metadata and abstract; published PDF Secs. 2–4 for scoring, Sec. 5/results tables for adversarial ratios. Exact table locators require author signoff.</x:v>
      </x:c>
      <x:c r="K106" s="60" t="str">
        <x:v>yes</x:v>
      </x:c>
    </x:row>
    <x:row r="107">
      <x:c r="A107" s="60" t="str">
        <x:v>medium</x:v>
      </x:c>
      <x:c r="B107" s="60" t="n">
        <x:v>66</x:v>
      </x:c>
      <x:c r="C107" s="60" t="str">
        <x:v>tailor2025auditwhisper</x:v>
      </x:c>
      <x:c r="D107" s="60" t="str">
        <x:v>Audit the Whisper: Detecting Steganographic Collusion in Multi-Agent LLMs</x:v>
      </x:c>
      <x:c r="E107" s="60" t="str">
        <x:v>cross_category</x:v>
      </x:c>
      <x:c r="F107" s="60" t="str">
        <x:v>metadata/scope/category/evidence/metric</x:v>
      </x:c>
      <x:c r="G107" s="60" t="str">
        <x:v>scope=security_relevant; category=defense</x:v>
      </x:c>
      <x:c r="H107" s="60" t="str">
        <x:v>Keep as defense/benchmark primary, not attack; record preprint status; code attack instances as secondary evidence; do not claim covert collusion is generally detectable or that finite-sample guarantees cover arbitrary channels.</x:v>
      </x:c>
      <x:c r="I107" s="60" t="str">
        <x:v>The defense, benchmark, and failure are inherently multi-party: colluding agents exploit a hidden communication channel and an auditor observes/intervenes.</x:v>
      </x:c>
      <x:c r="J107" s="60" t="str">
        <x:v>arXiv abstract for contributions, 10^-3 FPR, 10k honest runs, and external-suite evaluation; paper Secs. 5–6 and results/limitations for benchmark and detectors. Exact pages/tables require author signoff.</x:v>
      </x:c>
      <x:c r="K107" s="60" t="str">
        <x:v>yes</x:v>
      </x:c>
    </x:row>
    <x:row r="108">
      <x:c r="A108" s="60" t="str">
        <x:v>high</x:v>
      </x:c>
      <x:c r="B108" s="60" t="n">
        <x:v>67</x:v>
      </x:c>
      <x:c r="C108" s="60" t="str">
        <x:v>zou2025blocka2a</x:v>
      </x:c>
      <x:c r="D108" s="60" t="str">
        <x:v>BlockA2A: Towards Secure and Verifiable Agent-to-Agent Interoperability</x:v>
      </x:c>
      <x:c r="E108" s="60" t="str">
        <x:v>cross_category</x:v>
      </x:c>
      <x:c r="F108" s="60" t="str">
        <x:v>metadata/scope/category/evidence/metric</x:v>
      </x:c>
      <x:c r="G108" s="60" t="str">
        <x:v>scope=core_security; category=defense</x:v>
      </x:c>
      <x:c r="H108" s="60" t="str">
        <x:v>Keep defense/system primary; record v3 and preprint status; do not treat “guarantees” or Byzantine flagging as a classical consensus theorem; explicitly list ledger/oracle/endpoint adoption assumptions and avoid “first” claims without independent verification.</x:v>
      </x:c>
      <x:c r="I108" s="60" t="str">
        <x:v>The proposed framework addresses identity, message integrity, authorization, Byzantine members, and incident response across explicit A2A interactions.</x:v>
      </x:c>
      <x:c r="J108" s="60" t="str">
        <x:v>arXiv abstract for architecture, DOE, attack classes, and sub-second overhead; paper Secs. 3–6 for components and prototype tables. Exact locator validation remains for author signoff.</x:v>
      </x:c>
      <x:c r="K108" s="60" t="str">
        <x:v>yes</x:v>
      </x:c>
    </x:row>
    <x:row r="109">
      <x:c r="A109" s="60" t="str">
        <x:v>high</x:v>
      </x:c>
      <x:c r="B109" s="60" t="n">
        <x:v>68</x:v>
      </x:c>
      <x:c r="C109" s="60" t="str">
        <x:v>jo2025byzantinerobust</x:v>
      </x:c>
      <x:c r="D109" s="60" t="str">
        <x:v>Byzantine-Robust Decentralized Coordination of LLM Agents</x:v>
      </x:c>
      <x:c r="E109" s="60" t="str">
        <x:v>cross_category</x:v>
      </x:c>
      <x:c r="F109" s="60" t="str">
        <x:v>metadata/scope/category/evidence/metric</x:v>
      </x:c>
      <x:c r="G109" s="60" t="str">
        <x:v>scope=core_security; category=defense</x:v>
      </x:c>
      <x:c r="H109" s="60" t="str">
        <x:v>Keep defense-primary; never cite f&lt;n/2 without synchrony, authentication, and correctness definition; do not compare directly with classical asynchronous f&lt;n/3 or call task accuracy an agreement guarantee; require distributed-systems signoff.</x:v>
      </x:c>
      <x:c r="I109" s="60" t="str">
        <x:v>The defense and claims directly concern malicious members, distributed aggregation, agreement/selection, and liveness in an LLM-agent protocol.</x:v>
      </x:c>
      <x:c r="J109" s="60" t="str">
        <x:v>arXiv abstract for DecentLLMs and empirical claim; full paper threat model/theorems in pp. 3–7 and experiment tables. All formal statements require expert signoff against exact theorem text.</x:v>
      </x:c>
      <x:c r="K109" s="60" t="str">
        <x:v>yes</x:v>
      </x:c>
    </x:row>
    <x:row r="110">
      <x:c r="A110" s="60" t="str">
        <x:v>medium</x:v>
      </x:c>
      <x:c r="B110" s="60" t="n">
        <x:v>69</x:v>
      </x:c>
      <x:c r="C110" s="60" t="str">
        <x:v>wu2025cowpox</x:v>
      </x:c>
      <x:c r="D110" s="60" t="str">
        <x:v>Cowpox: Towards the Immunity of VLM-based Multi-Agent Systems</x:v>
      </x:c>
      <x:c r="E110" s="60" t="str">
        <x:v>cross_category</x:v>
      </x:c>
      <x:c r="F110" s="60" t="str">
        <x:v>metadata/scope/category/evidence/metric</x:v>
      </x:c>
      <x:c r="G110" s="60" t="str">
        <x:v>scope=core_security; category=defense</x:v>
      </x:c>
      <x:c r="H110" s="60" t="str">
        <x:v>Keep defense-primary and explicitly code prevention plus recovery; separate infection and recovery denominators; quote theoretical guarantees only with full model assumptions; do not generalize to arbitrary LLM-MAS or open populations.</x:v>
      </x:c>
      <x:c r="I110" s="60" t="str">
        <x:v>The defense is explicitly population-distributed and addresses infectious jailbreak spread across agent memory/communication.</x:v>
      </x:c>
      <x:c r="J110" s="60" t="str">
        <x:v>PMLR abstract for defense concept and theoretical guarantee; published PDF Secs. 3–4 and theorem/result tables for exact conditions. Author signoff required for every bound and denominator.</x:v>
      </x:c>
      <x:c r="K110" s="60" t="str">
        <x:v>yes</x:v>
      </x:c>
    </x:row>
    <x:row r="111">
      <x:c r="A111" s="60" t="str">
        <x:v>medium</x:v>
      </x:c>
      <x:c r="B111" s="60" t="n">
        <x:v>70</x:v>
      </x:c>
      <x:c r="C111" s="60" t="str">
        <x:v>li2025argus</x:v>
      </x:c>
      <x:c r="D111" s="60" t="str">
        <x:v>Goal-Aware Identification and Rectification of Misinformation in Multi-Agent Systems</x:v>
      </x:c>
      <x:c r="E111" s="60" t="str">
        <x:v>cross_category</x:v>
      </x:c>
      <x:c r="F111" s="60" t="str">
        <x:v>metadata/scope/category/evidence/metric</x:v>
      </x:c>
      <x:c r="G111" s="60" t="str">
        <x:v>scope=core_security; category=defense</x:v>
      </x:c>
      <x:c r="H111" s="60" t="str">
        <x:v>Keep defense/benchmark primary; downgrade scope to security_relevant unless specific claims involve adversarial integrity; use abstract’s toxicity/task-success metrics rather than generic ASR; make global-goal and trusted-reviewer assumptions explicit.</x:v>
      </x:c>
      <x:c r="I111" s="60" t="str">
        <x:v>It evaluates intentional misinformation injection and downstream multi-agent task integrity, but much of the endpoint is task performance/toxicity rather than a formal CIA/authorization property.</x:v>
      </x:c>
      <x:c r="J111" s="60" t="str">
        <x:v>arXiv abstract for MisinfoTask/ARGUS and 28.17%/10.33% averages; paper Secs. 3–5 and result tables for exact metrics. Exact page/table validation remains for author signoff.</x:v>
      </x:c>
      <x:c r="K111" s="60" t="str">
        <x:v>yes</x:v>
      </x:c>
    </x:row>
    <x:row r="112">
      <x:c r="A112" s="60" t="str">
        <x:v>medium</x:v>
      </x:c>
      <x:c r="B112" s="60" t="n">
        <x:v>71</x:v>
      </x:c>
      <x:c r="C112" s="60" t="str">
        <x:v>zhou2025guardian</x:v>
      </x:c>
      <x:c r="D112" s="60" t="str">
        <x:v>GUARDIAN: Safeguarding LLM Multi-Agent Collaborations with Temporal Graph Modeling</x:v>
      </x:c>
      <x:c r="E112" s="60" t="str">
        <x:v>cross_category</x:v>
      </x:c>
      <x:c r="F112" s="60" t="str">
        <x:v>metadata/scope/category/evidence/metric</x:v>
      </x:c>
      <x:c r="G112" s="60" t="str">
        <x:v>scope=core_security; category=defense</x:v>
      </x:c>
      <x:c r="H112" s="60" t="str">
        <x:v>Keep defense-primary; distinguish anomaly detection from task recovery; make full temporal-graph visibility and edge-control assumptions explicit; do not generalize 3–7 agent results to open ecosystems.</x:v>
      </x:c>
      <x:c r="I112" s="60" t="str">
        <x:v>The attack/defense contract is defined over cross-agent temporal propagation and topology control.</x:v>
      </x:c>
      <x:c r="J112" s="60" t="str">
        <x:v>NeurIPS proceedings abstract for temporal graph method and main claim; published PDF Secs. 3–5 for method, setup, and results. Exact table/page locators remain for author signoff.</x:v>
      </x:c>
      <x:c r="K112" s="60" t="str">
        <x:v>yes</x:v>
      </x:c>
    </x:row>
    <x:row r="113">
      <x:c r="A113" s="60" t="str">
        <x:v>high</x:v>
      </x:c>
      <x:c r="B113" s="60" t="n">
        <x:v>72</x:v>
      </x:c>
      <x:c r="C113" s="60" t="str">
        <x:v>mao2025ibgp</x:v>
      </x:c>
      <x:c r="D113" s="60" t="str">
        <x:v>IBGP: Imperfect Byzantine Generals Problem for Zero-Shot Robustness in Communicative Multi-Agent Systems</x:v>
      </x:c>
      <x:c r="E113" s="60" t="str">
        <x:v>cross_category</x:v>
      </x:c>
      <x:c r="F113" s="60" t="str">
        <x:v>metadata/scope/category/evidence/metric</x:v>
      </x:c>
      <x:c r="G113" s="60" t="str">
        <x:v>scope=core_security; category=defense</x:v>
      </x:c>
      <x:c r="H113" s="60" t="str">
        <x:v>Replace the incorrect seven-author list with the six official authors; label as AAMAS extended abstract; downgrade from any “super-ceiling BFT” framing; report k-of-n partial coordination and global-randomizer assumptions; never compare directly to f&lt;n/3.</x:v>
      </x:c>
      <x:c r="I113" s="60" t="str">
        <x:v>The paper studies adversarial coordination robustness, but its task environments and redefined partial-coordination property are broader reliability/safety and should not be treated as classical security consensus.</x:v>
      </x:c>
      <x:c r="J113" s="60" t="str">
        <x:v>Official PDF p. 1 authors/metadata and problem framing; pp. 1–2 Definitions 2.1–2.2; p. 2 Table 1 and protocol description.</x:v>
      </x:c>
      <x:c r="K113" s="60" t="str">
        <x:v>yes</x:v>
      </x:c>
    </x:row>
    <x:row r="114">
      <x:c r="A114" s="60" t="str">
        <x:v>medium</x:v>
      </x:c>
      <x:c r="B114" s="60" t="n">
        <x:v>73</x:v>
      </x:c>
      <x:c r="C114" s="60" t="str">
        <x:v>cui2025maris</x:v>
      </x:c>
      <x:c r="D114" s="60" t="str">
        <x:v>Maris: A Formally Verifiable Privacy Policy Enforcement Paradigm for Multi-Agent Collaboration Systems</x:v>
      </x:c>
      <x:c r="E114" s="60" t="str">
        <x:v>cross_category</x:v>
      </x:c>
      <x:c r="F114" s="60" t="str">
        <x:v>metadata/scope/category/evidence/metric</x:v>
      </x:c>
      <x:c r="G114" s="60" t="str">
        <x:v>scope=core_security; category=defense</x:v>
      </x:c>
      <x:c r="H114" s="60" t="str">
        <x:v>Keep defense/formal-system primary; record v5; qualify “formally verifiable” to modeled flows; make complete mediation and policy correctness explicit; do not imply universal semantic noninterference.</x:v>
      </x:c>
      <x:c r="I114" s="60" t="str">
        <x:v>The protected property is cross-principal confidentiality/contextual integrity and the enforcement boundary is explicitly multi-agent communication/tool flow.</x:v>
      </x:c>
      <x:c r="J114" s="60" t="str">
        <x:v>arXiv abstract for architecture, AutoGen/LangChain integration, and three task suites; PDF Secs. 3–4 and evaluation tables for policy model and overhead. Exact locators require author signoff.</x:v>
      </x:c>
      <x:c r="K114" s="60" t="str">
        <x:v>yes</x:v>
      </x:c>
    </x:row>
    <x:row r="115">
      <x:c r="A115" s="60" t="str">
        <x:v>high</x:v>
      </x:c>
      <x:c r="B115" s="60" t="n">
        <x:v>74</x:v>
      </x:c>
      <x:c r="C115" s="60" t="str">
        <x:v>he2025atrust</x:v>
      </x:c>
      <x:c r="D115" s="60" t="str">
        <x:v>To trust or not to trust: Attention-based Trust Management for LLM Multi-Agent Systems</x:v>
      </x:c>
      <x:c r="E115" s="60" t="str">
        <x:v>cross_category</x:v>
      </x:c>
      <x:c r="F115" s="60" t="str">
        <x:v>metadata/scope/category/evidence/metric</x:v>
      </x:c>
      <x:c r="G115" s="60" t="str">
        <x:v>scope=security_relevant; category=defense</x:v>
      </x:c>
      <x:c r="H115" s="60" t="str">
        <x:v>Do not list ACL 2026 as formally published until an Anthology record is found; keep defense-primary; split malicious/deceptive attacks from benign low-quality messages; record attention/internal-signal and threshold assumptions.</x:v>
      </x:c>
      <x:c r="I115" s="60" t="str">
        <x:v>It addresses malicious/unreliable message influence, but the taxonomy mixes deception, toxicity, irrelevance, low quality, and reliability; claim-level security coding is required.</x:v>
      </x:c>
      <x:c r="J115" s="60" t="str">
        <x:v>arXiv abstract for six dimensions, A-Trust/TMS, and acceptance comment; full paper Secs. 2–3 and result/limitation sections. Exact tables/pages require author signoff.</x:v>
      </x:c>
      <x:c r="K115" s="60" t="str">
        <x:v>yes</x:v>
      </x:c>
    </x:row>
    <x:row r="116">
      <x:c r="A116" s="60" t="str">
        <x:v>high</x:v>
      </x:c>
      <x:c r="B116" s="60" t="n">
        <x:v>75</x:v>
      </x:c>
      <x:c r="C116" s="60" t="str">
        <x:v>rabieinejad2026alteda</x:v>
      </x:c>
      <x:c r="D116" s="60" t="str">
        <x:v>Beyond the prompt: Log-based threat detection and attribution for multi-Agent LLMs</x:v>
      </x:c>
      <x:c r="E116" s="60" t="str">
        <x:v>cross_category</x:v>
      </x:c>
      <x:c r="F116" s="60" t="str">
        <x:v>metadata/scope/category/evidence/metric</x:v>
      </x:c>
      <x:c r="G116" s="60" t="str">
        <x:v>scope=core_security; category=defense</x:v>
      </x:c>
      <x:c r="H116" s="60" t="str">
        <x:v>Replace ALTEDA as paper title with the published title; preserve ALTEDA as method name; correct the 31.4% interpretation to attack success rate; make global synchronized telemetry and log integrity assumptions explicit.</x:v>
      </x:c>
      <x:c r="I116" s="60" t="str">
        <x:v>The contribution directly detects cross-agent attack traces and attribution from global execution telemetry.</x:v>
      </x:c>
      <x:c r="J116" s="60" t="str">
        <x:v>ScienceDirect abstract for 800 traces, 31.4% ASR, ~40% early alerts, content-free telemetry, and SHAP attribution; full article architecture/evaluation sections for exact tables. Author signoff required.</x:v>
      </x:c>
      <x:c r="K116" s="60" t="str">
        <x:v>yes</x:v>
      </x:c>
    </x:row>
    <x:row r="117">
      <x:c r="A117" s="60" t="str">
        <x:v>medium</x:v>
      </x:c>
      <x:c r="B117" s="60" t="n">
        <x:v>76</x:v>
      </x:c>
      <x:c r="C117" s="60" t="str">
        <x:v>miao2026blindguard</x:v>
      </x:c>
      <x:c r="D117" s="60" t="str">
        <x:v>BlindGuard: Safeguarding LLM-based Multi-Agent Systems under Unknown Attacks</x:v>
      </x:c>
      <x:c r="E117" s="60" t="str">
        <x:v>cross_category</x:v>
      </x:c>
      <x:c r="F117" s="60" t="str">
        <x:v>metadata/scope/category/evidence/metric</x:v>
      </x:c>
      <x:c r="G117" s="60" t="str">
        <x:v>scope=core_security; category=defense</x:v>
      </x:c>
      <x:c r="H117" s="60" t="str">
        <x:v>Keep defense-primary; preserve ASR@3 and AUC denominators separately; label pruning as containment; do not call unknown-attack performance a guarantee; record global graph visibility and isolation authority.</x:v>
      </x:c>
      <x:c r="I117" s="60" t="str">
        <x:v>Threats propagate through inter-agent communication, and both detection and containment require graph-wide observation/control.</x:v>
      </x:c>
      <x:c r="J117" s="60" t="str">
        <x:v>ACL metadata/abstract; published PDF Sec. 3 and Fig. 2 for method; Sec. 4.1/Table 1 for attack families/topologies/backbones/metrics.</x:v>
      </x:c>
      <x:c r="K117" s="60" t="str">
        <x:v>yes</x:v>
      </x:c>
    </x:row>
    <x:row r="118">
      <x:c r="A118" s="60" t="str">
        <x:v>medium</x:v>
      </x:c>
      <x:c r="B118" s="60" t="n">
        <x:v>77</x:v>
      </x:c>
      <x:c r="C118" s="60" t="str">
        <x:v>pan2026xgguard</x:v>
      </x:c>
      <x:c r="D118" s="60" t="str">
        <x:v>Explainable and Fine-Grained Safeguarding of LLM Multi-Agent Systems via Bi-Level Graph Anomaly Detection</x:v>
      </x:c>
      <x:c r="E118" s="60" t="str">
        <x:v>cross_category</x:v>
      </x:c>
      <x:c r="F118" s="60" t="str">
        <x:v>metadata/scope/category/evidence/metric</x:v>
      </x:c>
      <x:c r="G118" s="60" t="str">
        <x:v>scope=core_security; category=defense</x:v>
      </x:c>
      <x:c r="H118" s="60" t="str">
        <x:v>Keep defense-primary; separate response/agent detection from system ASR; make graph-wide visibility and node-removal authority explicit; call robustness empirical, not guaranteed.</x:v>
      </x:c>
      <x:c r="I118" s="60" t="str">
        <x:v>Detection and remediation are defined over compromised members, response flows, and communication topology.</x:v>
      </x:c>
      <x:c r="J118" s="60" t="str">
        <x:v>ACL metadata/abstract; PDF Sec. 3 and Fig. 2 for architecture; Sec. 4.1/Table 1 for setup/topologies/attack surfaces.</x:v>
      </x:c>
      <x:c r="K118" s="60" t="str">
        <x:v>yes</x:v>
      </x:c>
    </x:row>
    <x:row r="119">
      <x:c r="A119" s="60" t="str">
        <x:v>medium</x:v>
      </x:c>
      <x:c r="B119" s="60" t="n">
        <x:v>78</x:v>
      </x:c>
      <x:c r="C119" s="60" t="str">
        <x:v>tapwal2026prism</x:v>
      </x:c>
      <x:c r="D119" s="60" t="str">
        <x:v>PRISM: Generation-Time Detection and Mitigation of Secret Leakage in Multi-Agent LLM Pipelines</x:v>
      </x:c>
      <x:c r="E119" s="60" t="str">
        <x:v>cross_category</x:v>
      </x:c>
      <x:c r="F119" s="60" t="str">
        <x:v>metadata/scope/category/evidence/metric</x:v>
      </x:c>
      <x:c r="G119" s="60" t="str">
        <x:v>scope=core_security; category=defense</x:v>
      </x:c>
      <x:c r="H119" s="60" t="str">
        <x:v>Keep defense/benchmark primary; replace vague “2,000 examples” with 2,000 tasks, 13 categories, three pressure levels, and four agents; preserve task-level denominator; do not convert 0.0% observed leakage into a guarantee.</x:v>
      </x:c>
      <x:c r="I119" s="60" t="str">
        <x:v>The protected property is cross-agent secret confidentiality and the threat/defense depends on pipeline propagation across agent boundaries.</x:v>
      </x:c>
      <x:c r="J119" s="60" t="str">
        <x:v>arXiv abstract lines for four-agent pipeline, 2,000 tasks, 13 categories, three pressure levels, all headline metrics; full paper Secs. 3–5 for 16-signal model and baselines.</x:v>
      </x:c>
      <x:c r="K119" s="60" t="str">
        <x:v>yes</x:v>
      </x:c>
    </x:row>
    <x:row r="120">
      <x:c r="A120" s="60" t="str">
        <x:v>high</x:v>
      </x:c>
      <x:c r="B120" s="60" t="n">
        <x:v>79</x:v>
      </x:c>
      <x:c r="C120" s="60" t="str">
        <x:v>darabi2026bioautonomic</x:v>
      </x:c>
      <x:c r="D120" s="60" t="str">
        <x:v>Resilience in Ambient Multi-Agent LLMs via Decentralized Bio-Autonomic Control and Immune-Inspired Anomaly Detection</x:v>
      </x:c>
      <x:c r="E120" s="60" t="str">
        <x:v>cross_category</x:v>
      </x:c>
      <x:c r="F120" s="60" t="str">
        <x:v>metadata/scope/category/evidence/metric</x:v>
      </x:c>
      <x:c r="G120" s="60" t="str">
        <x:v>scope=security_relevant; category=defense</x:v>
      </x:c>
      <x:c r="H120" s="60" t="str">
        <x:v>Use Amit Ranjan Trivedi in canonical author field.</x:v>
      </x:c>
      <x:c r="I120" s="60" t="str">
        <x:v>The paper mixes fault resilience, anomaly detection, privacy-preserving adaptation, and malicious-agent/control-flow scenarios. The interaction is genuine, but not every evaluated perturbation is adversarial security.</x:v>
      </x:c>
      <x:c r="J120" s="60" t="str">
        <x:v>Official AAAI abstract and metadata; repository note method pp.2-5 and evaluation pp.6-7, but exact table/figure locators require author signoff</x:v>
      </x:c>
      <x:c r="K120" s="60" t="str">
        <x:v>yes</x:v>
      </x:c>
    </x:row>
    <x:row r="121">
      <x:c r="A121" s="60" t="str">
        <x:v>high</x:v>
      </x:c>
      <x:c r="B121" s="60" t="n">
        <x:v>79</x:v>
      </x:c>
      <x:c r="C121" s="60" t="str">
        <x:v>darabi2026bioautonomic</x:v>
      </x:c>
      <x:c r="D121" s="60" t="str">
        <x:v>Resilience in Ambient Multi-Agent LLMs via Decentralized Bio-Autonomic Control and Immune-Inspired Anomaly Detection</x:v>
      </x:c>
      <x:c r="E121" s="60" t="str">
        <x:v>cross_category</x:v>
      </x:c>
      <x:c r="F121" s="60" t="str">
        <x:v>metadata/scope/category/evidence/metric</x:v>
      </x:c>
      <x:c r="G121" s="60" t="str">
        <x:v>scope=security_relevant; category=defense</x:v>
      </x:c>
      <x:c r="H121" s="60" t="str">
        <x:v>Keep defense primary.</x:v>
      </x:c>
      <x:c r="I121" s="60" t="str">
        <x:v>Authors claim integrated decentralized resilience and recovery. Coding it as security_relevant rather than uniformly core_security is corpus interpretation because the paper also covers nonadversarial faults and general resilience.</x:v>
      </x:c>
      <x:c r="J121" s="60" t="str">
        <x:v>Official AAAI abstract and metadata; repository note method pp.2-5 and evaluation pp.6-7, but exact table/figure locators require author signoff</x:v>
      </x:c>
      <x:c r="K121" s="60" t="str">
        <x:v>yes</x:v>
      </x:c>
    </x:row>
    <x:row r="122">
      <x:c r="A122" s="60" t="str">
        <x:v>high</x:v>
      </x:c>
      <x:c r="B122" s="60" t="n">
        <x:v>79</x:v>
      </x:c>
      <x:c r="C122" s="60" t="str">
        <x:v>darabi2026bioautonomic</x:v>
      </x:c>
      <x:c r="D122" s="60" t="str">
        <x:v>Resilience in Ambient Multi-Agent LLMs via Decentralized Bio-Autonomic Control and Immune-Inspired Anomaly Detection</x:v>
      </x:c>
      <x:c r="E122" s="60" t="str">
        <x:v>cross_category</x:v>
      </x:c>
      <x:c r="F122" s="60" t="str">
        <x:v>metadata/scope/category/evidence/metric</x:v>
      </x:c>
      <x:c r="G122" s="60" t="str">
        <x:v>scope=security_relevant; category=defense</x:v>
      </x:c>
      <x:c r="H122" s="60" t="str">
        <x:v>Downgrade scope from blanket core_security to security_relevant unless individual attack claims are separated.</x:v>
      </x:c>
      <x:c r="I122" s="60" t="str">
        <x:v>Authors claim integrated decentralized resilience and recovery. Coding it as security_relevant rather than uniformly core_security is corpus interpretation because the paper also covers nonadversarial faults and general resilience.</x:v>
      </x:c>
      <x:c r="J122" s="60" t="str">
        <x:v>Official AAAI abstract and metadata; repository note method pp.2-5 and evaluation pp.6-7, but exact table/figure locators require author signoff</x:v>
      </x:c>
      <x:c r="K122" s="60" t="str">
        <x:v>yes</x:v>
      </x:c>
    </x:row>
    <x:row r="123">
      <x:c r="A123" s="60" t="str">
        <x:v>high</x:v>
      </x:c>
      <x:c r="B123" s="60" t="n">
        <x:v>79</x:v>
      </x:c>
      <x:c r="C123" s="60" t="str">
        <x:v>darabi2026bioautonomic</x:v>
      </x:c>
      <x:c r="D123" s="60" t="str">
        <x:v>Resilience in Ambient Multi-Agent LLMs via Decentralized Bio-Autonomic Control and Immune-Inspired Anomaly Detection</x:v>
      </x:c>
      <x:c r="E123" s="60" t="str">
        <x:v>cross_category</x:v>
      </x:c>
      <x:c r="F123" s="60" t="str">
        <x:v>metadata/scope/category/evidence/metric</x:v>
      </x:c>
      <x:c r="G123" s="60" t="str">
        <x:v>scope=security_relevant; category=defense</x:v>
      </x:c>
      <x:c r="H123" s="60" t="str">
        <x:v>Do not present resilience recovery as a security guarantee.</x:v>
      </x:c>
      <x:c r="I123" s="60" t="str">
        <x:v>Authors claim integrated decentralized resilience and recovery. Coding it as security_relevant rather than uniformly core_security is corpus interpretation because the paper also covers nonadversarial faults and general resilience.</x:v>
      </x:c>
      <x:c r="J123" s="60" t="str">
        <x:v>Official AAAI abstract and metadata; repository note method pp.2-5 and evaluation pp.6-7, but exact table/figure locators require author signoff</x:v>
      </x:c>
      <x:c r="K123" s="60" t="str">
        <x:v>yes</x:v>
      </x:c>
    </x:row>
    <x:row r="124">
      <x:c r="A124" s="60" t="str">
        <x:v>medium</x:v>
      </x:c>
      <x:c r="B124" s="60" t="n">
        <x:v>80</x:v>
      </x:c>
      <x:c r="C124" s="60" t="str">
        <x:v>zhou2026resmas</x:v>
      </x:c>
      <x:c r="D124" s="60" t="str">
        <x:v>ResMAS: Resilience Optimization in LLM-based Multi-agent Systems</x:v>
      </x:c>
      <x:c r="E124" s="60" t="str">
        <x:v>cross_category</x:v>
      </x:c>
      <x:c r="F124" s="60" t="str">
        <x:v>metadata/scope/category/evidence/metric</x:v>
      </x:c>
      <x:c r="G124" s="60" t="str">
        <x:v>scope=security_relevant; category=defense</x:v>
      </x:c>
      <x:c r="H124" s="60" t="str">
        <x:v>Do not code this as attack.</x:v>
      </x:c>
      <x:c r="I124" s="60" t="str">
        <x:v>Primary perturbations are random agent failures and general resilience, not consistently malicious adversaries. It is important design-time robustness evidence but should not be treated as a pure attack-defense paper.</x:v>
      </x:c>
      <x:c r="J124" s="60" t="str">
        <x:v>Official AAAI abstract lines 34-37 and metadata lines 18-48; repository note method pp.3-5 and experiments pp.5-8</x:v>
      </x:c>
      <x:c r="K124" s="60" t="str">
        <x:v>yes</x:v>
      </x:c>
    </x:row>
    <x:row r="125">
      <x:c r="A125" s="60" t="str">
        <x:v>medium</x:v>
      </x:c>
      <x:c r="B125" s="60" t="n">
        <x:v>80</x:v>
      </x:c>
      <x:c r="C125" s="60" t="str">
        <x:v>zhou2026resmas</x:v>
      </x:c>
      <x:c r="D125" s="60" t="str">
        <x:v>ResMAS: Resilience Optimization in LLM-based Multi-agent Systems</x:v>
      </x:c>
      <x:c r="E125" s="60" t="str">
        <x:v>cross_category</x:v>
      </x:c>
      <x:c r="F125" s="60" t="str">
        <x:v>metadata/scope/category/evidence/metric</x:v>
      </x:c>
      <x:c r="G125" s="60" t="str">
        <x:v>scope=security_relevant; category=defense</x:v>
      </x:c>
      <x:c r="H125" s="60" t="str">
        <x:v>Label design-time defense/resilience.</x:v>
      </x:c>
      <x:c r="I125" s="60" t="str">
        <x:v>Authors frame ResMAS as proactive resilience. Classifying it as security_relevant rather than core attack defense is corpus interpretation.</x:v>
      </x:c>
      <x:c r="J125" s="60" t="str">
        <x:v>Official AAAI abstract lines 34-37 and metadata lines 18-48; repository note method pp.3-5 and experiments pp.5-8</x:v>
      </x:c>
      <x:c r="K125" s="60" t="str">
        <x:v>yes</x:v>
      </x:c>
    </x:row>
    <x:row r="126">
      <x:c r="A126" s="60" t="str">
        <x:v>medium</x:v>
      </x:c>
      <x:c r="B126" s="60" t="n">
        <x:v>80</x:v>
      </x:c>
      <x:c r="C126" s="60" t="str">
        <x:v>zhou2026resmas</x:v>
      </x:c>
      <x:c r="D126" s="60" t="str">
        <x:v>ResMAS: Resilience Optimization in LLM-based Multi-agent Systems</x:v>
      </x:c>
      <x:c r="E126" s="60" t="str">
        <x:v>cross_category</x:v>
      </x:c>
      <x:c r="F126" s="60" t="str">
        <x:v>metadata/scope/category/evidence/metric</x:v>
      </x:c>
      <x:c r="G126" s="60" t="str">
        <x:v>scope=security_relevant; category=defense</x:v>
      </x:c>
      <x:c r="H126" s="60" t="str">
        <x:v>Do not call random-failure robustness a security guarantee.</x:v>
      </x:c>
      <x:c r="I126" s="60" t="str">
        <x:v>Authors frame ResMAS as proactive resilience. Classifying it as security_relevant rather than core attack defense is corpus interpretation.</x:v>
      </x:c>
      <x:c r="J126" s="60" t="str">
        <x:v>Official AAAI abstract lines 34-37 and metadata lines 18-48; repository note method pp.3-5 and experiments pp.5-8</x:v>
      </x:c>
      <x:c r="K126" s="60" t="str">
        <x:v>yes</x:v>
      </x:c>
    </x:row>
    <x:row r="127">
      <x:c r="A127" s="60" t="str">
        <x:v>medium</x:v>
      </x:c>
      <x:c r="B127" s="60" t="n">
        <x:v>80</x:v>
      </x:c>
      <x:c r="C127" s="60" t="str">
        <x:v>zhou2026resmas</x:v>
      </x:c>
      <x:c r="D127" s="60" t="str">
        <x:v>ResMAS: Resilience Optimization in LLM-based Multi-agent Systems</x:v>
      </x:c>
      <x:c r="E127" s="60" t="str">
        <x:v>cross_category</x:v>
      </x:c>
      <x:c r="F127" s="60" t="str">
        <x:v>metadata/scope/category/evidence/metric</x:v>
      </x:c>
      <x:c r="G127" s="60" t="str">
        <x:v>scope=security_relevant; category=defense</x:v>
      </x:c>
      <x:c r="H127" s="60" t="str">
        <x:v>Preserve exact perturbation model and resilience definition.</x:v>
      </x:c>
      <x:c r="I127" s="60" t="str">
        <x:v>Authors frame ResMAS as proactive resilience. Classifying it as security_relevant rather than core attack defense is corpus interpretation.</x:v>
      </x:c>
      <x:c r="J127" s="60" t="str">
        <x:v>Official AAAI abstract lines 34-37 and metadata lines 18-48; repository note method pp.3-5 and experiments pp.5-8</x:v>
      </x:c>
      <x:c r="K127" s="60" t="str">
        <x:v>yes</x:v>
      </x:c>
    </x:row>
    <x:row r="128">
      <x:c r="A128" s="60" t="str">
        <x:v>medium</x:v>
      </x:c>
      <x:c r="B128" s="60" t="n">
        <x:v>81</x:v>
      </x:c>
      <x:c r="C128" s="60" t="str">
        <x:v>shi2026saiguard</x:v>
      </x:c>
      <x:c r="D128" s="60" t="str">
        <x:v>SAIGuard: Communication-State Simulation for Proactive Defense of LLM Multi-Agent Systems</x:v>
      </x:c>
      <x:c r="E128" s="60" t="str">
        <x:v>cross_category</x:v>
      </x:c>
      <x:c r="F128" s="60" t="str">
        <x:v>metadata/scope/category/evidence/metric</x:v>
      </x:c>
      <x:c r="G128" s="60" t="str">
        <x:v>scope=core_security; category=defense</x:v>
      </x:c>
      <x:c r="H128" s="60" t="str">
        <x:v>Keep preprint label.</x:v>
      </x:c>
      <x:c r="I128" s="60" t="str">
        <x:v>The defense directly targets malicious messages and cross-agent propagation in graph-structured LLM MAS.</x:v>
      </x:c>
      <x:c r="J128" s="60" t="str">
        <x:v>Repository note sections 3-4 pp.3-7 and section 5 pp.8-11; arXiv full text must be signed off for exact tables</x:v>
      </x:c>
      <x:c r="K128" s="60" t="str">
        <x:v>yes</x:v>
      </x:c>
    </x:row>
    <x:row r="129">
      <x:c r="A129" s="60" t="str">
        <x:v>medium</x:v>
      </x:c>
      <x:c r="B129" s="60" t="n">
        <x:v>81</x:v>
      </x:c>
      <x:c r="C129" s="60" t="str">
        <x:v>shi2026saiguard</x:v>
      </x:c>
      <x:c r="D129" s="60" t="str">
        <x:v>SAIGuard: Communication-State Simulation for Proactive Defense of LLM Multi-Agent Systems</x:v>
      </x:c>
      <x:c r="E129" s="60" t="str">
        <x:v>cross_category</x:v>
      </x:c>
      <x:c r="F129" s="60" t="str">
        <x:v>metadata/scope/category/evidence/metric</x:v>
      </x:c>
      <x:c r="G129" s="60" t="str">
        <x:v>scope=core_security; category=defense</x:v>
      </x:c>
      <x:c r="H129" s="60" t="str">
        <x:v>Separate proactive interception from formal prevention guarantee.</x:v>
      </x:c>
      <x:c r="I129" s="60" t="str">
        <x:v>Authors claim proactive prevention. Treating simulator fidelity as a trust assumption and separating interception from guarantee are corpus interpretations.</x:v>
      </x:c>
      <x:c r="J129" s="60" t="str">
        <x:v>Repository note sections 3-4 pp.3-7 and section 5 pp.8-11; arXiv full text must be signed off for exact tables</x:v>
      </x:c>
      <x:c r="K129" s="60" t="str">
        <x:v>yes</x:v>
      </x:c>
    </x:row>
    <x:row r="130">
      <x:c r="A130" s="60" t="str">
        <x:v>medium</x:v>
      </x:c>
      <x:c r="B130" s="60" t="n">
        <x:v>81</x:v>
      </x:c>
      <x:c r="C130" s="60" t="str">
        <x:v>shi2026saiguard</x:v>
      </x:c>
      <x:c r="D130" s="60" t="str">
        <x:v>SAIGuard: Communication-State Simulation for Proactive Defense of LLM Multi-Agent Systems</x:v>
      </x:c>
      <x:c r="E130" s="60" t="str">
        <x:v>cross_category</x:v>
      </x:c>
      <x:c r="F130" s="60" t="str">
        <x:v>metadata/scope/category/evidence/metric</x:v>
      </x:c>
      <x:c r="G130" s="60" t="str">
        <x:v>scope=core_security; category=defense</x:v>
      </x:c>
      <x:c r="H130" s="60" t="str">
        <x:v>Record 80 agents only as scalability setting, not general evaluation size.</x:v>
      </x:c>
      <x:c r="I130" s="60" t="str">
        <x:v>Authors claim proactive prevention. Treating simulator fidelity as a trust assumption and separating interception from guarantee are corpus interpretations.</x:v>
      </x:c>
      <x:c r="J130" s="60" t="str">
        <x:v>Repository note sections 3-4 pp.3-7 and section 5 pp.8-11; arXiv full text must be signed off for exact tables</x:v>
      </x:c>
      <x:c r="K130" s="60" t="str">
        <x:v>yes</x:v>
      </x:c>
    </x:row>
    <x:row r="131">
      <x:c r="A131" s="60" t="str">
        <x:v>medium</x:v>
      </x:c>
      <x:c r="B131" s="60" t="n">
        <x:v>82</x:v>
      </x:c>
      <x:c r="C131" s="60" t="str">
        <x:v>feng2026sentinelnet</x:v>
      </x:c>
      <x:c r="D131" s="60" t="str">
        <x:v>SentinelNet: Safeguarding Multi-Agent Collaboration Through Credit-Based Dynamic Threat Detection</x:v>
      </x:c>
      <x:c r="E131" s="60" t="str">
        <x:v>cross_category</x:v>
      </x:c>
      <x:c r="F131" s="60" t="str">
        <x:v>metadata/scope/category/evidence/metric</x:v>
      </x:c>
      <x:c r="G131" s="60" t="str">
        <x:v>scope=core_security; category=defense</x:v>
      </x:c>
      <x:c r="H131" s="60" t="str">
        <x:v>Use published WWW metadata.</x:v>
      </x:c>
      <x:c r="I131" s="60" t="str">
        <x:v>Direct malicious-member detection and mitigation in LLM multi-agent debate.</x:v>
      </x:c>
      <x:c r="J131" s="60" t="str">
        <x:v>Official ACM abstract and pages 3135-3146; repository note method section 4 pp.4-7 and results section 5 pp.7-10</x:v>
      </x:c>
      <x:c r="K131" s="60" t="str">
        <x:v>yes</x:v>
      </x:c>
    </x:row>
    <x:row r="132">
      <x:c r="A132" s="60" t="str">
        <x:v>medium</x:v>
      </x:c>
      <x:c r="B132" s="60" t="n">
        <x:v>82</x:v>
      </x:c>
      <x:c r="C132" s="60" t="str">
        <x:v>feng2026sentinelnet</x:v>
      </x:c>
      <x:c r="D132" s="60" t="str">
        <x:v>SentinelNet: Safeguarding Multi-Agent Collaboration Through Credit-Based Dynamic Threat Detection</x:v>
      </x:c>
      <x:c r="E132" s="60" t="str">
        <x:v>cross_category</x:v>
      </x:c>
      <x:c r="F132" s="60" t="str">
        <x:v>metadata/scope/category/evidence/metric</x:v>
      </x:c>
      <x:c r="G132" s="60" t="str">
        <x:v>scope=core_security; category=defense</x:v>
      </x:c>
      <x:c r="H132" s="60" t="str">
        <x:v>Qualify headline detection/recovery numbers as selected benchmark results.</x:v>
      </x:c>
      <x:c r="I132" s="60" t="str">
        <x:v>Authors claim near-100% detection within two rounds and 95% accuracy recovery in experiments. Inferring that local scope may miss coalition-level plausible messages is corpus interpretation.</x:v>
      </x:c>
      <x:c r="J132" s="60" t="str">
        <x:v>Official ACM abstract and pages 3135-3146; repository note method section 4 pp.4-7 and results section 5 pp.7-10</x:v>
      </x:c>
      <x:c r="K132" s="60" t="str">
        <x:v>yes</x:v>
      </x:c>
    </x:row>
    <x:row r="133">
      <x:c r="A133" s="60" t="str">
        <x:v>medium</x:v>
      </x:c>
      <x:c r="B133" s="60" t="n">
        <x:v>82</x:v>
      </x:c>
      <x:c r="C133" s="60" t="str">
        <x:v>feng2026sentinelnet</x:v>
      </x:c>
      <x:c r="D133" s="60" t="str">
        <x:v>SentinelNet: Safeguarding Multi-Agent Collaboration Through Credit-Based Dynamic Threat Detection</x:v>
      </x:c>
      <x:c r="E133" s="60" t="str">
        <x:v>cross_category</x:v>
      </x:c>
      <x:c r="F133" s="60" t="str">
        <x:v>metadata/scope/category/evidence/metric</x:v>
      </x:c>
      <x:c r="G133" s="60" t="str">
        <x:v>scope=core_security; category=defense</x:v>
      </x:c>
      <x:c r="H133" s="60" t="str">
        <x:v>Code detection and containment separately.</x:v>
      </x:c>
      <x:c r="I133" s="60" t="str">
        <x:v>Authors claim near-100% detection within two rounds and 95% accuracy recovery in experiments. Inferring that local scope may miss coalition-level plausible messages is corpus interpretation.</x:v>
      </x:c>
      <x:c r="J133" s="60" t="str">
        <x:v>Official ACM abstract and pages 3135-3146; repository note method section 4 pp.4-7 and results section 5 pp.7-10</x:v>
      </x:c>
      <x:c r="K133" s="60" t="str">
        <x:v>yes</x:v>
      </x:c>
    </x:row>
    <x:row r="134">
      <x:c r="A134" s="60" t="str">
        <x:v>medium</x:v>
      </x:c>
      <x:c r="B134" s="60" t="n">
        <x:v>83</x:v>
      </x:c>
      <x:c r="C134" s="60" t="str">
        <x:v>huang2026toposhield</x:v>
      </x:c>
      <x:c r="D134" s="60" t="str">
        <x:v>TopoSHIELD: Reshaping the Flow of Malice via Spatio-Temporal Risk-Aware Topological Evolution in Multi-Agent Systems</x:v>
      </x:c>
      <x:c r="E134" s="60" t="str">
        <x:v>cross_category</x:v>
      </x:c>
      <x:c r="F134" s="60" t="str">
        <x:v>metadata/scope/category/evidence/metric</x:v>
      </x:c>
      <x:c r="G134" s="60" t="str">
        <x:v>scope=core_security; category=defense</x:v>
      </x:c>
      <x:c r="H134" s="60" t="str">
        <x:v>Do not generalize the 58% result.</x:v>
      </x:c>
      <x:c r="I134" s="60" t="str">
        <x:v>Directly protects LLM MAS against malicious injection diffusion over communication graphs.</x:v>
      </x:c>
      <x:c r="J134" s="60" t="str">
        <x:v>ACL Anthology abstract lines 58-61; metadata lines 62-99; repository note method pp.3-6 and results pp.7-10</x:v>
      </x:c>
      <x:c r="K134" s="60" t="str">
        <x:v>yes</x:v>
      </x:c>
    </x:row>
    <x:row r="135">
      <x:c r="A135" s="60" t="str">
        <x:v>medium</x:v>
      </x:c>
      <x:c r="B135" s="60" t="n">
        <x:v>83</x:v>
      </x:c>
      <x:c r="C135" s="60" t="str">
        <x:v>huang2026toposhield</x:v>
      </x:c>
      <x:c r="D135" s="60" t="str">
        <x:v>TopoSHIELD: Reshaping the Flow of Malice via Spatio-Temporal Risk-Aware Topological Evolution in Multi-Agent Systems</x:v>
      </x:c>
      <x:c r="E135" s="60" t="str">
        <x:v>cross_category</x:v>
      </x:c>
      <x:c r="F135" s="60" t="str">
        <x:v>metadata/scope/category/evidence/metric</x:v>
      </x:c>
      <x:c r="G135" s="60" t="str">
        <x:v>scope=core_security; category=defense</x:v>
      </x:c>
      <x:c r="H135" s="60" t="str">
        <x:v>Code functions as detection plus containment, not prevention of initial compromise.</x:v>
      </x:c>
      <x:c r="I135" s="60" t="str">
        <x:v>Authors explicitly report 58% toxicity reduction and &gt;90% utility in the highlighted GPT-4o setting. Coding global visibility/topology authority as defense assumptions is corpus interpretation.</x:v>
      </x:c>
      <x:c r="J135" s="60" t="str">
        <x:v>ACL Anthology abstract lines 58-61; metadata lines 62-99; repository note method pp.3-6 and results pp.7-10</x:v>
      </x:c>
      <x:c r="K135" s="60" t="str">
        <x:v>yes</x:v>
      </x:c>
    </x:row>
    <x:row r="136">
      <x:c r="A136" s="60" t="str">
        <x:v>medium</x:v>
      </x:c>
      <x:c r="B136" s="60" t="n">
        <x:v>83</x:v>
      </x:c>
      <x:c r="C136" s="60" t="str">
        <x:v>huang2026toposhield</x:v>
      </x:c>
      <x:c r="D136" s="60" t="str">
        <x:v>TopoSHIELD: Reshaping the Flow of Malice via Spatio-Temporal Risk-Aware Topological Evolution in Multi-Agent Systems</x:v>
      </x:c>
      <x:c r="E136" s="60" t="str">
        <x:v>cross_category</x:v>
      </x:c>
      <x:c r="F136" s="60" t="str">
        <x:v>metadata/scope/category/evidence/metric</x:v>
      </x:c>
      <x:c r="G136" s="60" t="str">
        <x:v>scope=core_security; category=defense</x:v>
      </x:c>
      <x:c r="H136" s="60" t="str">
        <x:v>Record global observer and intervention assumptions.</x:v>
      </x:c>
      <x:c r="I136" s="60" t="str">
        <x:v>Authors explicitly report 58% toxicity reduction and &gt;90% utility in the highlighted GPT-4o setting. Coding global visibility/topology authority as defense assumptions is corpus interpretation.</x:v>
      </x:c>
      <x:c r="J136" s="60" t="str">
        <x:v>ACL Anthology abstract lines 58-61; metadata lines 62-99; repository note method pp.3-6 and results pp.7-10</x:v>
      </x:c>
      <x:c r="K136" s="60" t="str">
        <x:v>yes</x:v>
      </x:c>
    </x:row>
    <x:row r="137">
      <x:c r="A137" s="60" t="str">
        <x:v>high</x:v>
      </x:c>
      <x:c r="B137" s="60" t="n">
        <x:v>84</x:v>
      </x:c>
      <x:c r="C137" s="60" t="str">
        <x:v>juneja2025magpie</x:v>
      </x:c>
      <x:c r="D137" s="60" t="str">
        <x:v>MAGPIE: A benchmark for Multi-AGent contextual PrIvacy Evaluation</x:v>
      </x:c>
      <x:c r="E137" s="60" t="str">
        <x:v>cross_category</x:v>
      </x:c>
      <x:c r="F137" s="60" t="str">
        <x:v>metadata/scope/category/evidence/metric</x:v>
      </x:c>
      <x:c r="G137" s="60" t="str">
        <x:v>scope=core_security; category=evaluation</x:v>
      </x:c>
      <x:c r="H137" s="60" t="str">
        <x:v>Canonicalize to the five-author 200-task workshop version.</x:v>
      </x:c>
      <x:c r="I137" s="60" t="str">
        <x:v>Privacy/confidentiality is the primary evaluated property, and violations arise through role-relative inter-agent disclosure even though scenarios are non-adversarial.</x:v>
      </x:c>
      <x:c r="J137" s="60" t="str">
        <x:v>NeurIPS workshop abstract; repository note dataset/method pp.3-5 and results pp.6-9</x:v>
      </x:c>
      <x:c r="K137" s="60" t="str">
        <x:v>yes</x:v>
      </x:c>
    </x:row>
    <x:row r="138">
      <x:c r="A138" s="60" t="str">
        <x:v>high</x:v>
      </x:c>
      <x:c r="B138" s="60" t="n">
        <x:v>84</x:v>
      </x:c>
      <x:c r="C138" s="60" t="str">
        <x:v>juneja2025magpie</x:v>
      </x:c>
      <x:c r="D138" s="60" t="str">
        <x:v>MAGPIE: A benchmark for Multi-AGent contextual PrIvacy Evaluation</x:v>
      </x:c>
      <x:c r="E138" s="60" t="str">
        <x:v>cross_category</x:v>
      </x:c>
      <x:c r="F138" s="60" t="str">
        <x:v>metadata/scope/category/evidence/metric</x:v>
      </x:c>
      <x:c r="G138" s="60" t="str">
        <x:v>scope=core_security; category=evaluation</x:v>
      </x:c>
      <x:c r="H138" s="60" t="str">
        <x:v>Do not mix 158-scenario, GPT-4o/Claude numbers from arXiv 2506.20737 with GPT-5/Gemini numbers from 2510.15186.</x:v>
      </x:c>
      <x:c r="I138" s="60" t="str">
        <x:v>Authors report 200 tasks and model-specific leakage. Treating manipulation as a condition rather than a separate attack paper is corpus interpretation.</x:v>
      </x:c>
      <x:c r="J138" s="60" t="str">
        <x:v>NeurIPS workshop abstract; repository note dataset/method pp.3-5 and results pp.6-9</x:v>
      </x:c>
      <x:c r="K138" s="60" t="str">
        <x:v>yes</x:v>
      </x:c>
    </x:row>
    <x:row r="139">
      <x:c r="A139" s="60" t="str">
        <x:v>medium</x:v>
      </x:c>
      <x:c r="B139" s="60" t="n">
        <x:v>85</x:v>
      </x:c>
      <x:c r="C139" s="60" t="str">
        <x:v>chen2025medsentry</x:v>
      </x:c>
      <x:c r="D139" s="60" t="str">
        <x:v>MedSentry: Understanding and Mitigating Safety Risks in Medical LLM Multi-Agent Systems</x:v>
      </x:c>
      <x:c r="E139" s="60" t="str">
        <x:v>cross_category</x:v>
      </x:c>
      <x:c r="F139" s="60" t="str">
        <x:v>metadata/scope/category/evidence/metric</x:v>
      </x:c>
      <x:c r="G139" s="60" t="str">
        <x:v>scope=core_security; category=evaluation</x:v>
      </x:c>
      <x:c r="H139" s="60" t="str">
        <x:v>Keep arXiv-only status and do not imply ICLR acceptance.</x:v>
      </x:c>
      <x:c r="I139" s="60" t="str">
        <x:v>Explicit malicious-member attack and topology-aware defense in an LLM MAS.</x:v>
      </x:c>
      <x:c r="J139" s="60" t="str">
        <x:v>Paper Abstract and sections 3-5; Table 1, Figure 2, Tables 2-3; repository note lists pages 1,4-7</x:v>
      </x:c>
      <x:c r="K139" s="60" t="str">
        <x:v>yes</x:v>
      </x:c>
    </x:row>
    <x:row r="140">
      <x:c r="A140" s="60" t="str">
        <x:v>medium</x:v>
      </x:c>
      <x:c r="B140" s="60" t="n">
        <x:v>85</x:v>
      </x:c>
      <x:c r="C140" s="60" t="str">
        <x:v>chen2025medsentry</x:v>
      </x:c>
      <x:c r="D140" s="60" t="str">
        <x:v>MedSentry: Understanding and Mitigating Safety Risks in Medical LLM Multi-Agent Systems</x:v>
      </x:c>
      <x:c r="E140" s="60" t="str">
        <x:v>cross_category</x:v>
      </x:c>
      <x:c r="F140" s="60" t="str">
        <x:v>metadata/scope/category/evidence/metric</x:v>
      </x:c>
      <x:c r="G140" s="60" t="str">
        <x:v>scope=core_security; category=evaluation</x:v>
      </x:c>
      <x:c r="H140" s="60" t="str">
        <x:v>Code primary role as benchmark/evaluation, not attack.</x:v>
      </x:c>
      <x:c r="I140" s="60" t="str">
        <x:v>Authors report SharedPool most vulnerable and decentralized most resistant in their setup. Generalizing topology ranking beyond this five-agent medical benchmark would be corpus overreach.</x:v>
      </x:c>
      <x:c r="J140" s="60" t="str">
        <x:v>Paper Abstract and sections 3-5; Table 1, Figure 2, Tables 2-3; repository note lists pages 1,4-7</x:v>
      </x:c>
      <x:c r="K140" s="60" t="str">
        <x:v>yes</x:v>
      </x:c>
    </x:row>
    <x:row r="141">
      <x:c r="A141" s="60" t="str">
        <x:v>medium</x:v>
      </x:c>
      <x:c r="B141" s="60" t="n">
        <x:v>85</x:v>
      </x:c>
      <x:c r="C141" s="60" t="str">
        <x:v>chen2025medsentry</x:v>
      </x:c>
      <x:c r="D141" s="60" t="str">
        <x:v>MedSentry: Understanding and Mitigating Safety Risks in Medical LLM Multi-Agent Systems</x:v>
      </x:c>
      <x:c r="E141" s="60" t="str">
        <x:v>cross_category</x:v>
      </x:c>
      <x:c r="F141" s="60" t="str">
        <x:v>metadata/scope/category/evidence/metric</x:v>
      </x:c>
      <x:c r="G141" s="60" t="str">
        <x:v>scope=core_security; category=evaluation</x:v>
      </x:c>
      <x:c r="H141" s="60" t="str">
        <x:v>Preserve five-agent and medical-domain scope for topology conclusions.</x:v>
      </x:c>
      <x:c r="I141" s="60" t="str">
        <x:v>Authors report SharedPool most vulnerable and decentralized most resistant in their setup. Generalizing topology ranking beyond this five-agent medical benchmark would be corpus overreach.</x:v>
      </x:c>
      <x:c r="J141" s="60" t="str">
        <x:v>Paper Abstract and sections 3-5; Table 1, Figure 2, Tables 2-3; repository note lists pages 1,4-7</x:v>
      </x:c>
      <x:c r="K141" s="60" t="str">
        <x:v>yes</x:v>
      </x:c>
    </x:row>
    <x:row r="142">
      <x:c r="A142" s="60" t="str">
        <x:v>medium</x:v>
      </x:c>
      <x:c r="B142" s="60" t="n">
        <x:v>86</x:v>
      </x:c>
      <x:c r="C142" s="60" t="str">
        <x:v>an2026aciarena</x:v>
      </x:c>
      <x:c r="D142" s="60" t="str">
        <x:v>ACIARena: Toward Unified Evaluation for Agent Cascading Injection</x:v>
      </x:c>
      <x:c r="E142" s="60" t="str">
        <x:v>cross_category</x:v>
      </x:c>
      <x:c r="F142" s="60" t="str">
        <x:v>metadata/scope/category/evidence/metric</x:v>
      </x:c>
      <x:c r="G142" s="60" t="str">
        <x:v>scope=core_security; category=evaluation</x:v>
      </x:c>
      <x:c r="H142" s="60" t="str">
        <x:v>Primary category should be benchmark/evaluation, not attack.</x:v>
      </x:c>
      <x:c r="I142" s="60" t="str">
        <x:v>The benchmark is explicitly about cascading injection in LLM MAS.</x:v>
      </x:c>
      <x:c r="J142" s="60" t="str">
        <x:v>ACL paper Abstract and section 4, section 5.1; 1,356 cases, six implementations, metric definitions</x:v>
      </x:c>
      <x:c r="K142" s="60" t="str">
        <x:v>yes</x:v>
      </x:c>
    </x:row>
    <x:row r="143">
      <x:c r="A143" s="60" t="str">
        <x:v>medium</x:v>
      </x:c>
      <x:c r="B143" s="60" t="n">
        <x:v>86</x:v>
      </x:c>
      <x:c r="C143" s="60" t="str">
        <x:v>an2026aciarena</x:v>
      </x:c>
      <x:c r="D143" s="60" t="str">
        <x:v>ACIARena: Toward Unified Evaluation for Agent Cascading Injection</x:v>
      </x:c>
      <x:c r="E143" s="60" t="str">
        <x:v>cross_category</x:v>
      </x:c>
      <x:c r="F143" s="60" t="str">
        <x:v>metadata/scope/category/evidence/metric</x:v>
      </x:c>
      <x:c r="G143" s="60" t="str">
        <x:v>scope=core_security; category=evaluation</x:v>
      </x:c>
      <x:c r="H143" s="60" t="str">
        <x:v>Split claims by objective.</x:v>
      </x:c>
      <x:c r="I143" s="60" t="str">
        <x:v>Authors claim architecture roles matter beyond topology and defense transfer is limited. Mapping each objective to separate global properties is corpus interpretation.</x:v>
      </x:c>
      <x:c r="J143" s="60" t="str">
        <x:v>ACL paper Abstract and section 4, section 5.1; 1,356 cases, six implementations, metric definitions</x:v>
      </x:c>
      <x:c r="K143" s="60" t="str">
        <x:v>yes</x:v>
      </x:c>
    </x:row>
    <x:row r="144">
      <x:c r="A144" s="60" t="str">
        <x:v>medium</x:v>
      </x:c>
      <x:c r="B144" s="60" t="n">
        <x:v>86</x:v>
      </x:c>
      <x:c r="C144" s="60" t="str">
        <x:v>an2026aciarena</x:v>
      </x:c>
      <x:c r="D144" s="60" t="str">
        <x:v>ACIARena: Toward Unified Evaluation for Agent Cascading Injection</x:v>
      </x:c>
      <x:c r="E144" s="60" t="str">
        <x:v>cross_category</x:v>
      </x:c>
      <x:c r="F144" s="60" t="str">
        <x:v>metadata/scope/category/evidence/metric</x:v>
      </x:c>
      <x:c r="G144" s="60" t="str">
        <x:v>scope=core_security; category=evaluation</x:v>
      </x:c>
      <x:c r="H144" s="60" t="str">
        <x:v>Record per-system agent count/topology.</x:v>
      </x:c>
      <x:c r="I144" s="60" t="str">
        <x:v>Authors claim architecture roles matter beyond topology and defense transfer is limited. Mapping each objective to separate global properties is corpus interpretation.</x:v>
      </x:c>
      <x:c r="J144" s="60" t="str">
        <x:v>ACL paper Abstract and section 4, section 5.1; 1,356 cases, six implementations, metric definitions</x:v>
      </x:c>
      <x:c r="K144" s="60" t="str">
        <x:v>yes</x:v>
      </x:c>
    </x:row>
    <x:row r="145">
      <x:c r="A145" s="60" t="str">
        <x:v>medium</x:v>
      </x:c>
      <x:c r="B145" s="60" t="n">
        <x:v>86</x:v>
      </x:c>
      <x:c r="C145" s="60" t="str">
        <x:v>an2026aciarena</x:v>
      </x:c>
      <x:c r="D145" s="60" t="str">
        <x:v>ACIARena: Toward Unified Evaluation for Agent Cascading Injection</x:v>
      </x:c>
      <x:c r="E145" s="60" t="str">
        <x:v>cross_category</x:v>
      </x:c>
      <x:c r="F145" s="60" t="str">
        <x:v>metadata/scope/category/evidence/metric</x:v>
      </x:c>
      <x:c r="G145" s="60" t="str">
        <x:v>scope=core_security; category=evaluation</x:v>
      </x:c>
      <x:c r="H145" s="60" t="str">
        <x:v>Do not compare ASR, DSR, and PSR as one quantity.</x:v>
      </x:c>
      <x:c r="I145" s="60" t="str">
        <x:v>Authors claim architecture roles matter beyond topology and defense transfer is limited. Mapping each objective to separate global properties is corpus interpretation.</x:v>
      </x:c>
      <x:c r="J145" s="60" t="str">
        <x:v>ACL paper Abstract and section 4, section 5.1; 1,356 cases, six implementations, metric definitions</x:v>
      </x:c>
      <x:c r="K145" s="60" t="str">
        <x:v>yes</x:v>
      </x:c>
    </x:row>
    <x:row r="146">
      <x:c r="A146" s="60" t="str">
        <x:v>high</x:v>
      </x:c>
      <x:c r="B146" s="60" t="n">
        <x:v>87</x:v>
      </x:c>
      <x:c r="C146" s="60" t="str">
        <x:v>elyagoubi2026agentleak</x:v>
      </x:c>
      <x:c r="D146" s="60" t="str">
        <x:v>AgentLeak: A Benchmark for Internal-Channel Privacy Leakage in Multi-Agent LLM Systems</x:v>
      </x:c>
      <x:c r="E146" s="60" t="str">
        <x:v>cross_category</x:v>
      </x:c>
      <x:c r="F146" s="60" t="str">
        <x:v>metadata/scope/category/evidence/metric</x:v>
      </x:c>
      <x:c r="G146" s="60" t="str">
        <x:v>scope=core_security; category=evaluation</x:v>
      </x:c>
      <x:c r="H146" s="60" t="str">
        <x:v>Use final title and author order.</x:v>
      </x:c>
      <x:c r="I146" s="60" t="str">
        <x:v>The primary object is cross-channel confidentiality in LLM MAS.</x:v>
      </x:c>
      <x:c r="J146" s="60" t="str">
        <x:v>IEEE/arXiv Tables 8, 10-15; Figures 3-5; main benchmark and methods sections</x:v>
      </x:c>
      <x:c r="K146" s="60" t="str">
        <x:v>yes</x:v>
      </x:c>
    </x:row>
    <x:row r="147">
      <x:c r="A147" s="60" t="str">
        <x:v>high</x:v>
      </x:c>
      <x:c r="B147" s="60" t="n">
        <x:v>87</x:v>
      </x:c>
      <x:c r="C147" s="60" t="str">
        <x:v>elyagoubi2026agentleak</x:v>
      </x:c>
      <x:c r="D147" s="60" t="str">
        <x:v>AgentLeak: A Benchmark for Internal-Channel Privacy Leakage in Multi-Agent LLM Systems</x:v>
      </x:c>
      <x:c r="E147" s="60" t="str">
        <x:v>cross_category</x:v>
      </x:c>
      <x:c r="F147" s="60" t="str">
        <x:v>metadata/scope/category/evidence/metric</x:v>
      </x:c>
      <x:c r="G147" s="60" t="str">
        <x:v>scope=core_security; category=evaluation</x:v>
      </x:c>
      <x:c r="H147" s="60" t="str">
        <x:v>Distinguish 41.7 percentage-point hidden-leakage event from “41.7% of all violations” unless denominator wording is exact.</x:v>
      </x:c>
      <x:c r="I147" s="60" t="str">
        <x:v>Authors explicitly report C2 68.8%, C1 27.2%, total exposure 68.9%, and H1 41.7%. The statement that final-output auditing cannot certify whole-system confidentiality is a supported corpus synthesis, but only within the coordinator-worker setting.</x:v>
      </x:c>
      <x:c r="J147" s="60" t="str">
        <x:v>IEEE/arXiv Tables 8, 10-15; Figures 3-5; main benchmark and methods sections</x:v>
      </x:c>
      <x:c r="K147" s="60" t="str">
        <x:v>yes</x:v>
      </x:c>
    </x:row>
    <x:row r="148">
      <x:c r="A148" s="60" t="str">
        <x:v>high</x:v>
      </x:c>
      <x:c r="B148" s="60" t="n">
        <x:v>87</x:v>
      </x:c>
      <x:c r="C148" s="60" t="str">
        <x:v>elyagoubi2026agentleak</x:v>
      </x:c>
      <x:c r="D148" s="60" t="str">
        <x:v>AgentLeak: A Benchmark for Internal-Channel Privacy Leakage in Multi-Agent LLM Systems</x:v>
      </x:c>
      <x:c r="E148" s="60" t="str">
        <x:v>cross_category</x:v>
      </x:c>
      <x:c r="F148" s="60" t="str">
        <x:v>metadata/scope/category/evidence/metric</x:v>
      </x:c>
      <x:c r="G148" s="60" t="str">
        <x:v>scope=core_security; category=evaluation</x:v>
      </x:c>
      <x:c r="H148" s="60" t="str">
        <x:v>Keep channel rates, union exposure, and attack-family ASR separate.</x:v>
      </x:c>
      <x:c r="I148" s="60" t="str">
        <x:v>Authors explicitly report C2 68.8%, C1 27.2%, total exposure 68.9%, and H1 41.7%. The statement that final-output auditing cannot certify whole-system confidentiality is a supported corpus synthesis, but only within the coordinator-worker setting.</x:v>
      </x:c>
      <x:c r="J148" s="60" t="str">
        <x:v>IEEE/arXiv Tables 8, 10-15; Figures 3-5; main benchmark and methods sections</x:v>
      </x:c>
      <x:c r="K148" s="60" t="str">
        <x:v>yes</x:v>
      </x:c>
    </x:row>
    <x:row r="149">
      <x:c r="A149" s="60" t="str">
        <x:v>high</x:v>
      </x:c>
      <x:c r="B149" s="60" t="n">
        <x:v>88</x:v>
      </x:c>
      <x:c r="C149" s="60" t="str">
        <x:v>nother2026badacts</x:v>
      </x:c>
      <x:c r="D149" s="60" t="str">
        <x:v>Benchmarking the Robustness of Agentic Systems to Adversarially-Induced Harmful Behaviors</x:v>
      </x:c>
      <x:c r="E149" s="60" t="str">
        <x:v>cross_category</x:v>
      </x:c>
      <x:c r="F149" s="60" t="str">
        <x:v>metadata/scope/category/evidence/metric</x:v>
      </x:c>
      <x:c r="G149" s="60" t="str">
        <x:v>scope=security_relevant; category=evaluation</x:v>
      </x:c>
      <x:c r="H149" s="60" t="str">
        <x:v>Use accepted title and 937-action/five-environment counts only.</x:v>
      </x:c>
      <x:c r="I149" s="60" t="str">
        <x:v>Explicit adversarial member, harmful tool-mediated actions, and multiple MAS architectures, though some environments may not be equally multiagent.</x:v>
      </x:c>
      <x:c r="J149" s="60" t="str">
        <x:v>Accepted paper contribution list p.2, threat model/Figure 1, benchmark design and ethics/reproducibility sections</x:v>
      </x:c>
      <x:c r="K149" s="60" t="str">
        <x:v>yes</x:v>
      </x:c>
    </x:row>
    <x:row r="150">
      <x:c r="A150" s="60" t="str">
        <x:v>high</x:v>
      </x:c>
      <x:c r="B150" s="60" t="n">
        <x:v>88</x:v>
      </x:c>
      <x:c r="C150" s="60" t="str">
        <x:v>nother2026badacts</x:v>
      </x:c>
      <x:c r="D150" s="60" t="str">
        <x:v>Benchmarking the Robustness of Agentic Systems to Adversarially-Induced Harmful Behaviors</x:v>
      </x:c>
      <x:c r="E150" s="60" t="str">
        <x:v>cross_category</x:v>
      </x:c>
      <x:c r="F150" s="60" t="str">
        <x:v>metadata/scope/category/evidence/metric</x:v>
      </x:c>
      <x:c r="G150" s="60" t="str">
        <x:v>scope=security_relevant; category=evaluation</x:v>
      </x:c>
      <x:c r="H150" s="60" t="str">
        <x:v>Primary category benchmark/evaluation.</x:v>
      </x:c>
      <x:c r="I150" s="60" t="str">
        <x:v>Authors report frequent manipulation and stronger guardian performance than prompt warnings. Mapping heterogeneous harms to several failure properties requires claim-level corpus coding.</x:v>
      </x:c>
      <x:c r="J150" s="60" t="str">
        <x:v>Accepted paper contribution list p.2, threat model/Figure 1, benchmark design and ethics/reproducibility sections</x:v>
      </x:c>
      <x:c r="K150" s="60" t="str">
        <x:v>yes</x:v>
      </x:c>
    </x:row>
    <x:row r="151">
      <x:c r="A151" s="60" t="str">
        <x:v>high</x:v>
      </x:c>
      <x:c r="B151" s="60" t="n">
        <x:v>88</x:v>
      </x:c>
      <x:c r="C151" s="60" t="str">
        <x:v>nother2026badacts</x:v>
      </x:c>
      <x:c r="D151" s="60" t="str">
        <x:v>Benchmarking the Robustness of Agentic Systems to Adversarially-Induced Harmful Behaviors</x:v>
      </x:c>
      <x:c r="E151" s="60" t="str">
        <x:v>cross_category</x:v>
      </x:c>
      <x:c r="F151" s="60" t="str">
        <x:v>metadata/scope/category/evidence/metric</x:v>
      </x:c>
      <x:c r="G151" s="60" t="str">
        <x:v>scope=security_relevant; category=evaluation</x:v>
      </x:c>
      <x:c r="H151" s="60" t="str">
        <x:v>Do not mix earlier-version counts or treat all environments as identical MAS configurations.</x:v>
      </x:c>
      <x:c r="I151" s="60" t="str">
        <x:v>Authors report frequent manipulation and stronger guardian performance than prompt warnings. Mapping heterogeneous harms to several failure properties requires claim-level corpus coding.</x:v>
      </x:c>
      <x:c r="J151" s="60" t="str">
        <x:v>Accepted paper contribution list p.2, threat model/Figure 1, benchmark design and ethics/reproducibility sections</x:v>
      </x:c>
      <x:c r="K151" s="60" t="str">
        <x:v>yes</x:v>
      </x:c>
    </x:row>
    <x:row r="152">
      <x:c r="A152" s="60" t="str">
        <x:v>high</x:v>
      </x:c>
      <x:c r="B152" s="60" t="n">
        <x:v>89</x:v>
      </x:c>
      <x:c r="C152" s="60" t="str">
        <x:v>zhao2026macbench</x:v>
      </x:c>
      <x:c r="D152" s="60" t="str">
        <x:v>Beyond Goodhart's Law: A Dynamic Benchmark for Evaluating Compliance in Multi-Agent Systems</x:v>
      </x:c>
      <x:c r="E152" s="60" t="str">
        <x:v>cross_category</x:v>
      </x:c>
      <x:c r="F152" s="60" t="str">
        <x:v>metadata/scope/category/evidence/metric</x:v>
      </x:c>
      <x:c r="G152" s="60" t="str">
        <x:v>scope=security_relevant; category=evaluation</x:v>
      </x:c>
      <x:c r="H152" s="60" t="str">
        <x:v>Do not code whole paper as core MAS security.</x:v>
      </x:c>
      <x:c r="I152" s="60" t="str">
        <x:v>Procedural compliance, authorization, privacy, and trace integrity are security-relevant, but the work is not exclusively MAS and many violations are governance/compliance rather than adversarial security.</x:v>
      </x:c>
      <x:c r="J152" s="60" t="str">
        <x:v>arXiv sections 3-4; 847 atomic rules; Tables 2-5; metric equations; architecture ablation</x:v>
      </x:c>
      <x:c r="K152" s="60" t="str">
        <x:v>yes</x:v>
      </x:c>
    </x:row>
    <x:row r="153">
      <x:c r="A153" s="60" t="str">
        <x:v>high</x:v>
      </x:c>
      <x:c r="B153" s="60" t="n">
        <x:v>89</x:v>
      </x:c>
      <x:c r="C153" s="60" t="str">
        <x:v>zhao2026macbench</x:v>
      </x:c>
      <x:c r="D153" s="60" t="str">
        <x:v>Beyond Goodhart's Law: A Dynamic Benchmark for Evaluating Compliance in Multi-Agent Systems</x:v>
      </x:c>
      <x:c r="E153" s="60" t="str">
        <x:v>cross_category</x:v>
      </x:c>
      <x:c r="F153" s="60" t="str">
        <x:v>metadata/scope/category/evidence/metric</x:v>
      </x:c>
      <x:c r="G153" s="60" t="str">
        <x:v>scope=security_relevant; category=evaluation</x:v>
      </x:c>
      <x:c r="H153" s="60" t="str">
        <x:v>Separate security rules from general compliance.</x:v>
      </x:c>
      <x:c r="I153" s="60" t="str">
        <x:v>Authors frame non-compliance as Goodhart-style behavior. Treating it as multiagent security must be limited to MAS-specific traces and security-relevant rules.</x:v>
      </x:c>
      <x:c r="J153" s="60" t="str">
        <x:v>arXiv sections 3-4; 847 atomic rules; Tables 2-5; metric equations; architecture ablation</x:v>
      </x:c>
      <x:c r="K153" s="60" t="str">
        <x:v>yes</x:v>
      </x:c>
    </x:row>
    <x:row r="154">
      <x:c r="A154" s="60" t="str">
        <x:v>high</x:v>
      </x:c>
      <x:c r="B154" s="60" t="n">
        <x:v>89</x:v>
      </x:c>
      <x:c r="C154" s="60" t="str">
        <x:v>zhao2026macbench</x:v>
      </x:c>
      <x:c r="D154" s="60" t="str">
        <x:v>Beyond Goodhart's Law: A Dynamic Benchmark for Evaluating Compliance in Multi-Agent Systems</x:v>
      </x:c>
      <x:c r="E154" s="60" t="str">
        <x:v>cross_category</x:v>
      </x:c>
      <x:c r="F154" s="60" t="str">
        <x:v>metadata/scope/category/evidence/metric</x:v>
      </x:c>
      <x:c r="G154" s="60" t="str">
        <x:v>scope=security_relevant; category=evaluation</x:v>
      </x:c>
      <x:c r="H154" s="60" t="str">
        <x:v>Record MG/CSR formulas and denominators precisely.</x:v>
      </x:c>
      <x:c r="I154" s="60" t="str">
        <x:v>Authors frame non-compliance as Goodhart-style behavior. Treating it as multiagent security must be limited to MAS-specific traces and security-relevant rules.</x:v>
      </x:c>
      <x:c r="J154" s="60" t="str">
        <x:v>arXiv sections 3-4; 847 atomic rules; Tables 2-5; metric equations; architecture ablation</x:v>
      </x:c>
      <x:c r="K154" s="60" t="str">
        <x:v>yes</x:v>
      </x:c>
    </x:row>
    <x:row r="155">
      <x:c r="A155" s="60" t="str">
        <x:v>high</x:v>
      </x:c>
      <x:c r="B155" s="60" t="n">
        <x:v>89</x:v>
      </x:c>
      <x:c r="C155" s="60" t="str">
        <x:v>zhao2026macbench</x:v>
      </x:c>
      <x:c r="D155" s="60" t="str">
        <x:v>Beyond Goodhart's Law: A Dynamic Benchmark for Evaluating Compliance in Multi-Agent Systems</x:v>
      </x:c>
      <x:c r="E155" s="60" t="str">
        <x:v>cross_category</x:v>
      </x:c>
      <x:c r="F155" s="60" t="str">
        <x:v>metadata/scope/category/evidence/metric</x:v>
      </x:c>
      <x:c r="G155" s="60" t="str">
        <x:v>scope=security_relevant; category=evaluation</x:v>
      </x:c>
      <x:c r="H155" s="60" t="str">
        <x:v>Avoid “strategic” intent claims beyond observed behavior.</x:v>
      </x:c>
      <x:c r="I155" s="60" t="str">
        <x:v>Authors frame non-compliance as Goodhart-style behavior. Treating it as multiagent security must be limited to MAS-specific traces and security-relevant rules.</x:v>
      </x:c>
      <x:c r="J155" s="60" t="str">
        <x:v>arXiv sections 3-4; 847 atomic rules; Tables 2-5; metric equations; architecture ablation</x:v>
      </x:c>
      <x:c r="K155" s="60" t="str">
        <x:v>yes</x:v>
      </x:c>
    </x:row>
    <x:row r="156">
      <x:c r="A156" s="60" t="str">
        <x:v>critical</x:v>
      </x:c>
      <x:c r="B156" s="60" t="n">
        <x:v>90</x:v>
      </x:c>
      <x:c r="C156" s="60" t="str">
        <x:v>zou2026calbench</x:v>
      </x:c>
      <x:c r="D156" s="60" t="str">
        <x:v>CalBench: Evaluating Coordination-Privacy Trade-offs in Multi-Agent LLMs</x:v>
      </x:c>
      <x:c r="E156" s="60" t="str">
        <x:v>cross_category</x:v>
      </x:c>
      <x:c r="F156" s="60" t="str">
        <x:v>metadata/scope/category/evidence/metric</x:v>
      </x:c>
      <x:c r="G156" s="60" t="str">
        <x:v>scope=core_security; category=evaluation</x:v>
      </x:c>
      <x:c r="H156" s="60" t="str">
        <x:v>Resolve four-author arXiv metadata versus five-author PDF title-block conflict.</x:v>
      </x:c>
      <x:c r="I156" s="60" t="str">
        <x:v>The benchmark primarily studies coordination, cost, fairness, and communication; privacy leakage is one first-class metric but no adversary is required.</x:v>
      </x:c>
      <x:c r="J156" s="60" t="str">
        <x:v>arXiv HTML lines 11-23, 50-80, 82-131; Table 1 and metric equations</x:v>
      </x:c>
      <x:c r="K156" s="60" t="str">
        <x:v>yes</x:v>
      </x:c>
    </x:row>
    <x:row r="157">
      <x:c r="A157" s="60" t="str">
        <x:v>critical</x:v>
      </x:c>
      <x:c r="B157" s="60" t="n">
        <x:v>90</x:v>
      </x:c>
      <x:c r="C157" s="60" t="str">
        <x:v>zou2026calbench</x:v>
      </x:c>
      <x:c r="D157" s="60" t="str">
        <x:v>CalBench: Evaluating Coordination-Privacy Trade-offs in Multi-Agent LLMs</x:v>
      </x:c>
      <x:c r="E157" s="60" t="str">
        <x:v>cross_category</x:v>
      </x:c>
      <x:c r="F157" s="60" t="str">
        <x:v>metadata/scope/category/evidence/metric</x:v>
      </x:c>
      <x:c r="G157" s="60" t="str">
        <x:v>scope=core_security; category=evaluation</x:v>
      </x:c>
      <x:c r="H157" s="60" t="str">
        <x:v>Replace vague N/M notation with canonical N=5, M=5 in main suite.</x:v>
      </x:c>
      <x:c r="I157" s="60" t="str">
        <x:v>Authors explicitly frame CalBench as necessarily decentralized. Coding it as security_relevant rather than core attack evidence is corpus interpretation.</x:v>
      </x:c>
      <x:c r="J157" s="60" t="str">
        <x:v>arXiv HTML lines 11-23, 50-80, 82-131; Table 1 and metric equations</x:v>
      </x:c>
      <x:c r="K157" s="60" t="str">
        <x:v>yes</x:v>
      </x:c>
    </x:row>
    <x:row r="158">
      <x:c r="A158" s="60" t="str">
        <x:v>critical</x:v>
      </x:c>
      <x:c r="B158" s="60" t="n">
        <x:v>90</x:v>
      </x:c>
      <x:c r="C158" s="60" t="str">
        <x:v>zou2026calbench</x:v>
      </x:c>
      <x:c r="D158" s="60" t="str">
        <x:v>CalBench: Evaluating Coordination-Privacy Trade-offs in Multi-Agent LLMs</x:v>
      </x:c>
      <x:c r="E158" s="60" t="str">
        <x:v>cross_category</x:v>
      </x:c>
      <x:c r="F158" s="60" t="str">
        <x:v>metadata/scope/category/evidence/metric</x:v>
      </x:c>
      <x:c r="G158" s="60" t="str">
        <x:v>scope=core_security; category=evaluation</x:v>
      </x:c>
      <x:c r="H158" s="60" t="str">
        <x:v>Do not call Table 1 N=135/45 “number of agents”; it is evaluated seats.</x:v>
      </x:c>
      <x:c r="I158" s="60" t="str">
        <x:v>Authors explicitly frame CalBench as necessarily decentralized. Coding it as security_relevant rather than core attack evidence is corpus interpretation.</x:v>
      </x:c>
      <x:c r="J158" s="60" t="str">
        <x:v>arXiv HTML lines 11-23, 50-80, 82-131; Table 1 and metric equations</x:v>
      </x:c>
      <x:c r="K158" s="60" t="str">
        <x:v>yes</x:v>
      </x:c>
    </x:row>
    <x:row r="159">
      <x:c r="A159" s="60" t="str">
        <x:v>medium</x:v>
      </x:c>
      <x:c r="B159" s="60" t="n">
        <x:v>91</x:v>
      </x:c>
      <x:c r="C159" s="60" t="str">
        <x:v>nakamura2026colosseum</x:v>
      </x:c>
      <x:c r="D159" s="60" t="str">
        <x:v>Colosseum: Auditing Collusion in Cooperative Multi-Agent Systems</x:v>
      </x:c>
      <x:c r="E159" s="60" t="str">
        <x:v>cross_category</x:v>
      </x:c>
      <x:c r="F159" s="60" t="str">
        <x:v>metadata/scope/category/evidence/metric</x:v>
      </x:c>
      <x:c r="G159" s="60" t="str">
        <x:v>scope=core_security; category=evaluation</x:v>
      </x:c>
      <x:c r="H159" s="60" t="str">
        <x:v>Primary category benchmark/evaluation.</x:v>
      </x:c>
      <x:c r="I159" s="60" t="str">
        <x:v>Collusion, secret channels, and collective objective degradation are inherently multiagent security/safety properties.</x:v>
      </x:c>
      <x:c r="J159" s="60" t="str">
        <x:v>arXiv abstract, sections 4-5, metric equations, environment and results sections</x:v>
      </x:c>
      <x:c r="K159" s="60" t="str">
        <x:v>yes</x:v>
      </x:c>
    </x:row>
    <x:row r="160">
      <x:c r="A160" s="60" t="str">
        <x:v>medium</x:v>
      </x:c>
      <x:c r="B160" s="60" t="n">
        <x:v>91</x:v>
      </x:c>
      <x:c r="C160" s="60" t="str">
        <x:v>nakamura2026colosseum</x:v>
      </x:c>
      <x:c r="D160" s="60" t="str">
        <x:v>Colosseum: Auditing Collusion in Cooperative Multi-Agent Systems</x:v>
      </x:c>
      <x:c r="E160" s="60" t="str">
        <x:v>cross_category</x:v>
      </x:c>
      <x:c r="F160" s="60" t="str">
        <x:v>metadata/scope/category/evidence/metric</x:v>
      </x:c>
      <x:c r="G160" s="60" t="str">
        <x:v>scope=core_security; category=evaluation</x:v>
      </x:c>
      <x:c r="H160" s="60" t="str">
        <x:v>Do not claim most models spontaneously collude without the secret-channel and objective conditions.</x:v>
      </x:c>
      <x:c r="I160" s="60" t="str">
        <x:v>Authors distinguish “collusion on paper” from action-level collusion. Treating action regret as stronger evidence than transcript intent is supported but environment-specific.</x:v>
      </x:c>
      <x:c r="J160" s="60" t="str">
        <x:v>arXiv abstract, sections 4-5, metric equations, environment and results sections</x:v>
      </x:c>
      <x:c r="K160" s="60" t="str">
        <x:v>yes</x:v>
      </x:c>
    </x:row>
    <x:row r="161">
      <x:c r="A161" s="60" t="str">
        <x:v>medium</x:v>
      </x:c>
      <x:c r="B161" s="60" t="n">
        <x:v>91</x:v>
      </x:c>
      <x:c r="C161" s="60" t="str">
        <x:v>nakamura2026colosseum</x:v>
      </x:c>
      <x:c r="D161" s="60" t="str">
        <x:v>Colosseum: Auditing Collusion in Cooperative Multi-Agent Systems</x:v>
      </x:c>
      <x:c r="E161" s="60" t="str">
        <x:v>cross_category</x:v>
      </x:c>
      <x:c r="F161" s="60" t="str">
        <x:v>metadata/scope/category/evidence/metric</x:v>
      </x:c>
      <x:c r="G161" s="60" t="str">
        <x:v>scope=core_security; category=evaluation</x:v>
      </x:c>
      <x:c r="H161" s="60" t="str">
        <x:v>Separate textual intent from action-level regret.</x:v>
      </x:c>
      <x:c r="I161" s="60" t="str">
        <x:v>Authors distinguish “collusion on paper” from action-level collusion. Treating action regret as stronger evidence than transcript intent is supported but environment-specific.</x:v>
      </x:c>
      <x:c r="J161" s="60" t="str">
        <x:v>arXiv abstract, sections 4-5, metric equations, environment and results sections</x:v>
      </x:c>
      <x:c r="K161" s="60" t="str">
        <x:v>yes</x:v>
      </x:c>
    </x:row>
    <x:row r="162">
      <x:c r="A162" s="60" t="str">
        <x:v>medium</x:v>
      </x:c>
      <x:c r="B162" s="60" t="n">
        <x:v>92</x:v>
      </x:c>
      <x:c r="C162" s="60" t="str">
        <x:v>milkowski2026amongus</x:v>
      </x:c>
      <x:c r="D162" s="60" t="str">
        <x:v>Deception and Communication in Autonomous Multi-Agent Systems: An Experimental Study with Among Us</x:v>
      </x:c>
      <x:c r="E162" s="60" t="str">
        <x:v>cross_category</x:v>
      </x:c>
      <x:c r="F162" s="60" t="str">
        <x:v>metadata/scope/category/evidence/metric</x:v>
      </x:c>
      <x:c r="G162" s="60" t="str">
        <x:v>scope=security_relevant; category=evaluation</x:v>
      </x:c>
      <x:c r="H162" s="60" t="str">
        <x:v>Primary category evaluation, not attack.</x:v>
      </x:c>
      <x:c r="I162" s="60" t="str">
        <x:v>It is a social-deception evaluation in a game with assigned adversarial roles, not a general technical attack or defense study.</x:v>
      </x:c>
      <x:c r="J162" s="60" t="str">
        <x:v>AAMAS paper abstract/methods/results; 1,100 games, &gt;1M tokens, falsification/equivocation coding</x:v>
      </x:c>
      <x:c r="K162" s="60" t="str">
        <x:v>yes</x:v>
      </x:c>
    </x:row>
    <x:row r="163">
      <x:c r="A163" s="60" t="str">
        <x:v>medium</x:v>
      </x:c>
      <x:c r="B163" s="60" t="n">
        <x:v>92</x:v>
      </x:c>
      <x:c r="C163" s="60" t="str">
        <x:v>milkowski2026amongus</x:v>
      </x:c>
      <x:c r="D163" s="60" t="str">
        <x:v>Deception and Communication in Autonomous Multi-Agent Systems: An Experimental Study with Among Us</x:v>
      </x:c>
      <x:c r="E163" s="60" t="str">
        <x:v>cross_category</x:v>
      </x:c>
      <x:c r="F163" s="60" t="str">
        <x:v>metadata/scope/category/evidence/metric</x:v>
      </x:c>
      <x:c r="G163" s="60" t="str">
        <x:v>scope=security_relevant; category=evaluation</x:v>
      </x:c>
      <x:c r="H163" s="60" t="str">
        <x:v>Preserve finding that deception was strategically limited; do not cite as evidence of highly effective autonomous deception.</x:v>
      </x:c>
      <x:c r="I163" s="60" t="str">
        <x:v>Authors report equivocation increases under pressure but rarely improves wins. Calling this an “attack” would be corpus overreach; it is assigned-role behavioral evidence.</x:v>
      </x:c>
      <x:c r="J163" s="60" t="str">
        <x:v>AAMAS paper abstract/methods/results; 1,100 games, &gt;1M tokens, falsification/equivocation coding</x:v>
      </x:c>
      <x:c r="K163" s="60" t="str">
        <x:v>yes</x:v>
      </x:c>
    </x:row>
    <x:row r="164">
      <x:c r="A164" s="60" t="str">
        <x:v>medium</x:v>
      </x:c>
      <x:c r="B164" s="60" t="n">
        <x:v>93</x:v>
      </x:c>
      <x:c r="C164" s="60" t="str">
        <x:v>arora2026safeagents</x:v>
      </x:c>
      <x:c r="D164" s="60" t="str">
        <x:v>Exposing Weak Links in Multi-Agent Systems under Adversarial Prompting</x:v>
      </x:c>
      <x:c r="E164" s="60" t="str">
        <x:v>cross_category</x:v>
      </x:c>
      <x:c r="F164" s="60" t="str">
        <x:v>metadata/scope/category/evidence/metric</x:v>
      </x:c>
      <x:c r="G164" s="60" t="str">
        <x:v>scope=security_relevant; category=evaluation</x:v>
      </x:c>
      <x:c r="H164" s="60" t="str">
        <x:v>Primary category benchmark/evaluation.</x:v>
      </x:c>
      <x:c r="I164" s="60" t="str">
        <x:v>Explicit adversarial harmful prompts and architecture-dependent harmful execution in LLM MAS.</x:v>
      </x:c>
      <x:c r="J164" s="60" t="str">
        <x:v>Workshop/arXiv Abstract, sections 3-5, Figure 3, main tables</x:v>
      </x:c>
      <x:c r="K164" s="60" t="str">
        <x:v>yes</x:v>
      </x:c>
    </x:row>
    <x:row r="165">
      <x:c r="A165" s="60" t="str">
        <x:v>medium</x:v>
      </x:c>
      <x:c r="B165" s="60" t="n">
        <x:v>93</x:v>
      </x:c>
      <x:c r="C165" s="60" t="str">
        <x:v>arora2026safeagents</x:v>
      </x:c>
      <x:c r="D165" s="60" t="str">
        <x:v>Exposing Weak Links in Multi-Agent Systems under Adversarial Prompting</x:v>
      </x:c>
      <x:c r="E165" s="60" t="str">
        <x:v>cross_category</x:v>
      </x:c>
      <x:c r="F165" s="60" t="str">
        <x:v>metadata/scope/category/evidence/metric</x:v>
      </x:c>
      <x:c r="G165" s="60" t="str">
        <x:v>scope=security_relevant; category=evaluation</x:v>
      </x:c>
      <x:c r="H165" s="60" t="str">
        <x:v>Do not call DHARMA a single metric without explaining categories.</x:v>
      </x:c>
      <x:c r="I165" s="60" t="str">
        <x:v>Authors identify atomic delegation, missing fallbacks, and no re-evaluation as weak links. Generalizing beyond the five architectures requires caution.</x:v>
      </x:c>
      <x:c r="J165" s="60" t="str">
        <x:v>Workshop/arXiv Abstract, sections 3-5, Figure 3, main tables</x:v>
      </x:c>
      <x:c r="K165" s="60" t="str">
        <x:v>yes</x:v>
      </x:c>
    </x:row>
    <x:row r="166">
      <x:c r="A166" s="60" t="str">
        <x:v>medium</x:v>
      </x:c>
      <x:c r="B166" s="60" t="n">
        <x:v>93</x:v>
      </x:c>
      <x:c r="C166" s="60" t="str">
        <x:v>arora2026safeagents</x:v>
      </x:c>
      <x:c r="D166" s="60" t="str">
        <x:v>Exposing Weak Links in Multi-Agent Systems under Adversarial Prompting</x:v>
      </x:c>
      <x:c r="E166" s="60" t="str">
        <x:v>cross_category</x:v>
      </x:c>
      <x:c r="F166" s="60" t="str">
        <x:v>metadata/scope/category/evidence/metric</x:v>
      </x:c>
      <x:c r="G166" s="60" t="str">
        <x:v>scope=security_relevant; category=evaluation</x:v>
      </x:c>
      <x:c r="H166" s="60" t="str">
        <x:v>Distinguish architecture count from agent count.</x:v>
      </x:c>
      <x:c r="I166" s="60" t="str">
        <x:v>Authors identify atomic delegation, missing fallbacks, and no re-evaluation as weak links. Generalizing beyond the five architectures requires caution.</x:v>
      </x:c>
      <x:c r="J166" s="60" t="str">
        <x:v>Workshop/arXiv Abstract, sections 3-5, Figure 3, main tables</x:v>
      </x:c>
      <x:c r="K166" s="60" t="str">
        <x:v>yes</x:v>
      </x:c>
    </x:row>
    <x:row r="167">
      <x:c r="A167" s="60" t="str">
        <x:v>medium</x:v>
      </x:c>
      <x:c r="B167" s="60" t="n">
        <x:v>93</x:v>
      </x:c>
      <x:c r="C167" s="60" t="str">
        <x:v>arora2026safeagents</x:v>
      </x:c>
      <x:c r="D167" s="60" t="str">
        <x:v>Exposing Weak Links in Multi-Agent Systems under Adversarial Prompting</x:v>
      </x:c>
      <x:c r="E167" s="60" t="str">
        <x:v>cross_category</x:v>
      </x:c>
      <x:c r="F167" s="60" t="str">
        <x:v>metadata/scope/category/evidence/metric</x:v>
      </x:c>
      <x:c r="G167" s="60" t="str">
        <x:v>scope=security_relevant; category=evaluation</x:v>
      </x:c>
      <x:c r="H167" s="60" t="str">
        <x:v>Label workshop status.</x:v>
      </x:c>
      <x:c r="I167" s="60" t="str">
        <x:v>Authors identify atomic delegation, missing fallbacks, and no re-evaluation as weak links. Generalizing beyond the five architectures requires caution.</x:v>
      </x:c>
      <x:c r="J167" s="60" t="str">
        <x:v>Workshop/arXiv Abstract, sections 3-5, Figure 3, main tables</x:v>
      </x:c>
      <x:c r="K167" s="60" t="str">
        <x:v>yes</x:v>
      </x:c>
    </x:row>
    <x:row r="168">
      <x:c r="A168" s="60" t="str">
        <x:v>high</x:v>
      </x:c>
      <x:c r="B168" s="60" t="n">
        <x:v>94</x:v>
      </x:c>
      <x:c r="C168" s="60" t="str">
        <x:v>lemercier2026gambit</x:v>
      </x:c>
      <x:c r="D168" s="60" t="str">
        <x:v>GAMBIT: A Three-Mode Benchmark for Adversarial Robustness in Multi-Agent LLM Collectives</x:v>
      </x:c>
      <x:c r="E168" s="60" t="str">
        <x:v>cross_category</x:v>
      </x:c>
      <x:c r="F168" s="60" t="str">
        <x:v>metadata/scope/category/evidence/metric</x:v>
      </x:c>
      <x:c r="G168" s="60" t="str">
        <x:v>scope=security_relevant; category=evaluation</x:v>
      </x:c>
      <x:c r="H168" s="60" t="str">
        <x:v>Primary category should be benchmark rather than attack.</x:v>
      </x:c>
      <x:c r="I168" s="60" t="str">
        <x:v>The benchmark directly evaluates a malicious member, collective degradation, observer evasion, and post-shift defense adaptation.</x:v>
      </x:c>
      <x:c r="J168" s="60" t="str">
        <x:v>arXiv abstract; method and benchmark sections; Figure 1; dataset split and adaptation result tables. Exact page/table locators require final author signoff.</x:v>
      </x:c>
      <x:c r="K168" s="60" t="str">
        <x:v>yes</x:v>
      </x:c>
    </x:row>
    <x:row r="169">
      <x:c r="A169" s="60" t="str">
        <x:v>high</x:v>
      </x:c>
      <x:c r="B169" s="60" t="n">
        <x:v>94</x:v>
      </x:c>
      <x:c r="C169" s="60" t="str">
        <x:v>lemercier2026gambit</x:v>
      </x:c>
      <x:c r="D169" s="60" t="str">
        <x:v>GAMBIT: A Three-Mode Benchmark for Adversarial Robustness in Multi-Agent LLM Collectives</x:v>
      </x:c>
      <x:c r="E169" s="60" t="str">
        <x:v>cross_category</x:v>
      </x:c>
      <x:c r="F169" s="60" t="str">
        <x:v>metadata/scope/category/evidence/metric</x:v>
      </x:c>
      <x:c r="G169" s="60" t="str">
        <x:v>scope=security_relevant; category=evaluation</x:v>
      </x:c>
      <x:c r="H169" s="60" t="str">
        <x:v>Do not treat zero-shot F1, recalibration score, and collective task degradation as one metric.</x:v>
      </x:c>
      <x:c r="I169" s="60" t="str">
        <x:v>Authors explicitly claim 27,804 instances, 240 strategies, 20-example recalibration, 8x adaptation separation, and 20x faster convergence. Calling the result a general MAS security law would be corpus overreach; it is a strong adaptive-evaluation case study.</x:v>
      </x:c>
      <x:c r="J169" s="60" t="str">
        <x:v>arXiv abstract; method and benchmark sections; Figure 1; dataset split and adaptation result tables. Exact page/table locators require final author signoff.</x:v>
      </x:c>
      <x:c r="K169" s="60" t="str">
        <x:v>yes</x:v>
      </x:c>
    </x:row>
    <x:row r="170">
      <x:c r="A170" s="60" t="str">
        <x:v>high</x:v>
      </x:c>
      <x:c r="B170" s="60" t="n">
        <x:v>94</x:v>
      </x:c>
      <x:c r="C170" s="60" t="str">
        <x:v>lemercier2026gambit</x:v>
      </x:c>
      <x:c r="D170" s="60" t="str">
        <x:v>GAMBIT: A Three-Mode Benchmark for Adversarial Robustness in Multi-Agent LLM Collectives</x:v>
      </x:c>
      <x:c r="E170" s="60" t="str">
        <x:v>cross_category</x:v>
      </x:c>
      <x:c r="F170" s="60" t="str">
        <x:v>metadata/scope/category/evidence/metric</x:v>
      </x:c>
      <x:c r="G170" s="60" t="str">
        <x:v>scope=security_relevant; category=evaluation</x:v>
      </x:c>
      <x:c r="H170" s="60" t="str">
        <x:v>Verify exact collective size and table locators before manuscript use.</x:v>
      </x:c>
      <x:c r="I170" s="60" t="str">
        <x:v>Authors explicitly claim 27,804 instances, 240 strategies, 20-example recalibration, 8x adaptation separation, and 20x faster convergence. Calling the result a general MAS security law would be corpus overreach; it is a strong adaptive-evaluation case study.</x:v>
      </x:c>
      <x:c r="J170" s="60" t="str">
        <x:v>arXiv abstract; method and benchmark sections; Figure 1; dataset split and adaptation result tables. Exact page/table locators require final author signoff.</x:v>
      </x:c>
      <x:c r="K170" s="60" t="str">
        <x:v>yes</x:v>
      </x:c>
    </x:row>
    <x:row r="171">
      <x:c r="A171" s="60" t="str">
        <x:v>high</x:v>
      </x:c>
      <x:c r="B171" s="60" t="n">
        <x:v>95</x:v>
      </x:c>
      <x:c r="C171" s="60" t="str">
        <x:v>mateotorrejon2026gammaf</x:v>
      </x:c>
      <x:c r="D171" s="60" t="str">
        <x:v>GAMMAF: A Common Framework for Graph-Based Anomaly Monitoring Benchmarking in LLM Multi-Agent Systems</x:v>
      </x:c>
      <x:c r="E171" s="60" t="str">
        <x:v>cross_category</x:v>
      </x:c>
      <x:c r="F171" s="60" t="str">
        <x:v>metadata/scope/category/evidence/metric</x:v>
      </x:c>
      <x:c r="G171" s="60" t="str">
        <x:v>scope=core_security; category=evaluation</x:v>
      </x:c>
      <x:c r="H171" s="60" t="str">
        <x:v>Primary category must be benchmark/evaluation, not defense.</x:v>
      </x:c>
      <x:c r="I171" s="60" t="str">
        <x:v>It directly benchmarks detection and containment of compromised nodes in LLM MAS communication graphs.</x:v>
      </x:c>
      <x:c r="J171" s="60" t="str">
        <x:v>arXiv abstract; architecture Figure 2; training-data-generation and defense-benchmarking sections; main result tables</x:v>
      </x:c>
      <x:c r="K171" s="60" t="str">
        <x:v>yes</x:v>
      </x:c>
    </x:row>
    <x:row r="172">
      <x:c r="A172" s="60" t="str">
        <x:v>high</x:v>
      </x:c>
      <x:c r="B172" s="60" t="n">
        <x:v>95</x:v>
      </x:c>
      <x:c r="C172" s="60" t="str">
        <x:v>mateotorrejon2026gammaf</x:v>
      </x:c>
      <x:c r="D172" s="60" t="str">
        <x:v>GAMMAF: A Common Framework for Graph-Based Anomaly Monitoring Benchmarking in LLM Multi-Agent Systems</x:v>
      </x:c>
      <x:c r="E172" s="60" t="str">
        <x:v>cross_category</x:v>
      </x:c>
      <x:c r="F172" s="60" t="str">
        <x:v>metadata/scope/category/evidence/metric</x:v>
      </x:c>
      <x:c r="G172" s="60" t="str">
        <x:v>scope=core_security; category=evaluation</x:v>
      </x:c>
      <x:c r="H172" s="60" t="str">
        <x:v>Separate detection quality from recovered task utility and token cost.</x:v>
      </x:c>
      <x:c r="I172" s="60" t="str">
        <x:v>Authors explicitly state that GAMMAF is not a new defense. Coding node isolation as containment and graph visibility as a defense assumption is corpus interpretation.</x:v>
      </x:c>
      <x:c r="J172" s="60" t="str">
        <x:v>arXiv abstract; architecture Figure 2; training-data-generation and defense-benchmarking sections; main result tables</x:v>
      </x:c>
      <x:c r="K172" s="60" t="str">
        <x:v>yes</x:v>
      </x:c>
    </x:row>
    <x:row r="173">
      <x:c r="A173" s="60" t="str">
        <x:v>high</x:v>
      </x:c>
      <x:c r="B173" s="60" t="n">
        <x:v>95</x:v>
      </x:c>
      <x:c r="C173" s="60" t="str">
        <x:v>mateotorrejon2026gammaf</x:v>
      </x:c>
      <x:c r="D173" s="60" t="str">
        <x:v>GAMMAF: A Common Framework for Graph-Based Anomaly Monitoring Benchmarking in LLM Multi-Agent Systems</x:v>
      </x:c>
      <x:c r="E173" s="60" t="str">
        <x:v>cross_category</x:v>
      </x:c>
      <x:c r="F173" s="60" t="str">
        <x:v>metadata/scope/category/evidence/metric</x:v>
      </x:c>
      <x:c r="G173" s="60" t="str">
        <x:v>scope=core_security; category=evaluation</x:v>
      </x:c>
      <x:c r="H173" s="60" t="str">
        <x:v>Record exact graph sizes and denominators before quantitative synthesis.</x:v>
      </x:c>
      <x:c r="I173" s="60" t="str">
        <x:v>Authors explicitly state that GAMMAF is not a new defense. Coding node isolation as containment and graph visibility as a defense assumption is corpus interpretation.</x:v>
      </x:c>
      <x:c r="J173" s="60" t="str">
        <x:v>arXiv abstract; architecture Figure 2; training-data-generation and defense-benchmarking sections; main result tables</x:v>
      </x:c>
      <x:c r="K173" s="60" t="str">
        <x:v>yes</x:v>
      </x:c>
    </x:row>
    <x:row r="174">
      <x:c r="A174" s="60" t="str">
        <x:v>high</x:v>
      </x:c>
      <x:c r="B174" s="60" t="n">
        <x:v>96</x:v>
      </x:c>
      <x:c r="C174" s="60" t="str">
        <x:v>rahman2026harp</x:v>
      </x:c>
      <x:c r="D174" s="60" t="str">
        <x:v>HARP: Measuring Harm Amplification in Multi-Agent LLM Systems</x:v>
      </x:c>
      <x:c r="E174" s="60" t="str">
        <x:v>cross_category</x:v>
      </x:c>
      <x:c r="F174" s="60" t="str">
        <x:v>metadata/scope/category/evidence/metric</x:v>
      </x:c>
      <x:c r="G174" s="60" t="str">
        <x:v>scope=core_security; category=evaluation</x:v>
      </x:c>
      <x:c r="H174" s="60" t="str">
        <x:v>Primary category benchmark/evaluation.</x:v>
      </x:c>
      <x:c r="I174" s="60" t="str">
        <x:v>The paper explicitly targets adversarial local-to-global harm amplification in a seven-agent LLM system.</x:v>
      </x:c>
      <x:c r="J174" s="60" t="str">
        <x:v>arXiv abstract and lines 104-124 of HTML; methodology sections 3.1-3.2; Tables 1 and 3-5; trace and metric definitions</x:v>
      </x:c>
      <x:c r="K174" s="60" t="str">
        <x:v>yes</x:v>
      </x:c>
    </x:row>
    <x:row r="175">
      <x:c r="A175" s="60" t="str">
        <x:v>high</x:v>
      </x:c>
      <x:c r="B175" s="60" t="n">
        <x:v>96</x:v>
      </x:c>
      <x:c r="C175" s="60" t="str">
        <x:v>rahman2026harp</x:v>
      </x:c>
      <x:c r="D175" s="60" t="str">
        <x:v>HARP: Measuring Harm Amplification in Multi-Agent LLM Systems</x:v>
      </x:c>
      <x:c r="E175" s="60" t="str">
        <x:v>cross_category</x:v>
      </x:c>
      <x:c r="F175" s="60" t="str">
        <x:v>metadata/scope/category/evidence/metric</x:v>
      </x:c>
      <x:c r="G175" s="60" t="str">
        <x:v>scope=core_security; category=evaluation</x:v>
      </x:c>
      <x:c r="H175" s="60" t="str">
        <x:v>Keep ASR, malicious impact, global harm, and amplification separate.</x:v>
      </x:c>
      <x:c r="I175" s="60" t="str">
        <x:v>The local/global harm ratio and regime-specific results are author claims. Treating HARP as evidence that all MAS amplify harm would be overgeneralization.</x:v>
      </x:c>
      <x:c r="J175" s="60" t="str">
        <x:v>arXiv abstract and lines 104-124 of HTML; methodology sections 3.1-3.2; Tables 1 and 3-5; trace and metric definitions</x:v>
      </x:c>
      <x:c r="K175" s="60" t="str">
        <x:v>yes</x:v>
      </x:c>
    </x:row>
    <x:row r="176">
      <x:c r="A176" s="60" t="str">
        <x:v>high</x:v>
      </x:c>
      <x:c r="B176" s="60" t="n">
        <x:v>96</x:v>
      </x:c>
      <x:c r="C176" s="60" t="str">
        <x:v>rahman2026harp</x:v>
      </x:c>
      <x:c r="D176" s="60" t="str">
        <x:v>HARP: Measuring Harm Amplification in Multi-Agent LLM Systems</x:v>
      </x:c>
      <x:c r="E176" s="60" t="str">
        <x:v>cross_category</x:v>
      </x:c>
      <x:c r="F176" s="60" t="str">
        <x:v>metadata/scope/category/evidence/metric</x:v>
      </x:c>
      <x:c r="G176" s="60" t="str">
        <x:v>scope=core_security; category=evaluation</x:v>
      </x:c>
      <x:c r="H176" s="60" t="str">
        <x:v>Do not compare HARP's ratio with population infection metrics.</x:v>
      </x:c>
      <x:c r="I176" s="60" t="str">
        <x:v>The local/global harm ratio and regime-specific results are author claims. Treating HARP as evidence that all MAS amplify harm would be overgeneralization.</x:v>
      </x:c>
      <x:c r="J176" s="60" t="str">
        <x:v>arXiv abstract and lines 104-124 of HTML; methodology sections 3.1-3.2; Tables 1 and 3-5; trace and metric definitions</x:v>
      </x:c>
      <x:c r="K176" s="60" t="str">
        <x:v>yes</x:v>
      </x:c>
    </x:row>
    <x:row r="177">
      <x:c r="A177" s="60" t="str">
        <x:v>high</x:v>
      </x:c>
      <x:c r="B177" s="60" t="n">
        <x:v>96</x:v>
      </x:c>
      <x:c r="C177" s="60" t="str">
        <x:v>rahman2026harp</x:v>
      </x:c>
      <x:c r="D177" s="60" t="str">
        <x:v>HARP: Measuring Harm Amplification in Multi-Agent LLM Systems</x:v>
      </x:c>
      <x:c r="E177" s="60" t="str">
        <x:v>cross_category</x:v>
      </x:c>
      <x:c r="F177" s="60" t="str">
        <x:v>metadata/scope/category/evidence/metric</x:v>
      </x:c>
      <x:c r="G177" s="60" t="str">
        <x:v>scope=core_security; category=evaluation</x:v>
      </x:c>
      <x:c r="H177" s="60" t="str">
        <x:v>State seven specialists precisely rather than generic 'seven-agent workflow' if router/gate counting matters.</x:v>
      </x:c>
      <x:c r="I177" s="60" t="str">
        <x:v>The local/global harm ratio and regime-specific results are author claims. Treating HARP as evidence that all MAS amplify harm would be overgeneralization.</x:v>
      </x:c>
      <x:c r="J177" s="60" t="str">
        <x:v>arXiv abstract and lines 104-124 of HTML; methodology sections 3.1-3.2; Tables 1 and 3-5; trace and metric definitions</x:v>
      </x:c>
      <x:c r="K177" s="60" t="str">
        <x:v>yes</x:v>
      </x:c>
    </x:row>
    <x:row r="178">
      <x:c r="A178" s="60" t="str">
        <x:v>medium</x:v>
      </x:c>
      <x:c r="B178" s="60" t="n">
        <x:v>97</x:v>
      </x:c>
      <x:c r="C178" s="60" t="str">
        <x:v>olson2026liecraft</x:v>
      </x:c>
      <x:c r="D178" s="60" t="str">
        <x:v>LieCraft: A Multi-Agent Framework for Evaluating Deceptive Capabilities in Language Models</x:v>
      </x:c>
      <x:c r="E178" s="60" t="str">
        <x:v>cross_category</x:v>
      </x:c>
      <x:c r="F178" s="60" t="str">
        <x:v>metadata/scope/category/evidence/metric</x:v>
      </x:c>
      <x:c r="G178" s="60" t="str">
        <x:v>scope=security_relevant; category=evaluation</x:v>
      </x:c>
      <x:c r="H178" s="60" t="str">
        <x:v>Primary category benchmark/evaluation, not attack.</x:v>
      </x:c>
      <x:c r="I178" s="60" t="str">
        <x:v>It measures deception capability and peer detection in controlled games, but the malicious objective is assigned by the benchmark rather than arising from a deployment attack.</x:v>
      </x:c>
      <x:c r="J178" s="60" t="str">
        <x:v>AAAI published paper, framework and evaluation sections, scenario table, main results tables, pp. 37802-37809</x:v>
      </x:c>
      <x:c r="K178" s="60" t="str">
        <x:v>yes</x:v>
      </x:c>
    </x:row>
    <x:row r="179">
      <x:c r="A179" s="60" t="str">
        <x:v>medium</x:v>
      </x:c>
      <x:c r="B179" s="60" t="n">
        <x:v>97</x:v>
      </x:c>
      <x:c r="C179" s="60" t="str">
        <x:v>olson2026liecraft</x:v>
      </x:c>
      <x:c r="D179" s="60" t="str">
        <x:v>LieCraft: A Multi-Agent Framework for Evaluating Deceptive Capabilities in Language Models</x:v>
      </x:c>
      <x:c r="E179" s="60" t="str">
        <x:v>cross_category</x:v>
      </x:c>
      <x:c r="F179" s="60" t="str">
        <x:v>metadata/scope/category/evidence/metric</x:v>
      </x:c>
      <x:c r="G179" s="60" t="str">
        <x:v>scope=security_relevant; category=evaluation</x:v>
      </x:c>
      <x:c r="H179" s="60" t="str">
        <x:v>Separate propensity to defect, skill at deception, and peer detection.</x:v>
      </x:c>
      <x:c r="I179" s="60" t="str">
        <x:v>Authors explicitly measure three behavioral axes. Coding the work as security_relevant rather than core attack evidence is corpus interpretation.</x:v>
      </x:c>
      <x:c r="J179" s="60" t="str">
        <x:v>AAAI published paper, framework and evaluation sections, scenario table, main results tables, pp. 37802-37809</x:v>
      </x:c>
      <x:c r="K179" s="60" t="str">
        <x:v>yes</x:v>
      </x:c>
    </x:row>
    <x:row r="180">
      <x:c r="A180" s="60" t="str">
        <x:v>medium</x:v>
      </x:c>
      <x:c r="B180" s="60" t="n">
        <x:v>97</x:v>
      </x:c>
      <x:c r="C180" s="60" t="str">
        <x:v>olson2026liecraft</x:v>
      </x:c>
      <x:c r="D180" s="60" t="str">
        <x:v>LieCraft: A Multi-Agent Framework for Evaluating Deceptive Capabilities in Language Models</x:v>
      </x:c>
      <x:c r="E180" s="60" t="str">
        <x:v>cross_category</x:v>
      </x:c>
      <x:c r="F180" s="60" t="str">
        <x:v>metadata/scope/category/evidence/metric</x:v>
      </x:c>
      <x:c r="G180" s="60" t="str">
        <x:v>scope=security_relevant; category=evaluation</x:v>
      </x:c>
      <x:c r="H180" s="60" t="str">
        <x:v>Do not describe induced game behavior as spontaneous collusion.</x:v>
      </x:c>
      <x:c r="I180" s="60" t="str">
        <x:v>Authors explicitly measure three behavioral axes. Coding the work as security_relevant rather than core attack evidence is corpus interpretation.</x:v>
      </x:c>
      <x:c r="J180" s="60" t="str">
        <x:v>AAAI published paper, framework and evaluation sections, scenario table, main results tables, pp. 37802-37809</x:v>
      </x:c>
      <x:c r="K180" s="60" t="str">
        <x:v>yes</x:v>
      </x:c>
    </x:row>
    <x:row r="181">
      <x:c r="A181" s="60" t="str">
        <x:v>high</x:v>
      </x:c>
      <x:c r="B181" s="60" t="n">
        <x:v>98</x:v>
      </x:c>
      <x:c r="C181" s="60" t="str">
        <x:v>jia2026masfire</x:v>
      </x:c>
      <x:c r="D181" s="60" t="str">
        <x:v>MAS-FIRE: Fault Injection and Reliability Evaluation for LLM-Based Multi-Agent Systems</x:v>
      </x:c>
      <x:c r="E181" s="60" t="str">
        <x:v>cross_category</x:v>
      </x:c>
      <x:c r="F181" s="60" t="str">
        <x:v>metadata/scope/category/evidence/metric</x:v>
      </x:c>
      <x:c r="G181" s="60" t="str">
        <x:v>scope=adjacent; category=evaluation</x:v>
      </x:c>
      <x:c r="H181" s="60" t="str">
        <x:v>Change scope from security attack to adjacent reliability benchmark.</x:v>
      </x:c>
      <x:c r="I181" s="60" t="str">
        <x:v>The primary object is reliability under synthetic faults; security relevance arises only when the injection is adversarial.</x:v>
      </x:c>
      <x:c r="J181" s="60" t="str">
        <x:v>arXiv abstract; framework and fault-library sections; main propagation/recovery tables; exact pages require signoff</x:v>
      </x:c>
      <x:c r="K181" s="60" t="str">
        <x:v>yes</x:v>
      </x:c>
    </x:row>
    <x:row r="182">
      <x:c r="A182" s="60" t="str">
        <x:v>high</x:v>
      </x:c>
      <x:c r="B182" s="60" t="n">
        <x:v>98</x:v>
      </x:c>
      <x:c r="C182" s="60" t="str">
        <x:v>jia2026masfire</x:v>
      </x:c>
      <x:c r="D182" s="60" t="str">
        <x:v>MAS-FIRE: Fault Injection and Reliability Evaluation for LLM-Based Multi-Agent Systems</x:v>
      </x:c>
      <x:c r="E182" s="60" t="str">
        <x:v>cross_category</x:v>
      </x:c>
      <x:c r="F182" s="60" t="str">
        <x:v>metadata/scope/category/evidence/metric</x:v>
      </x:c>
      <x:c r="G182" s="60" t="str">
        <x:v>scope=adjacent; category=evaluation</x:v>
      </x:c>
      <x:c r="H182" s="60" t="str">
        <x:v>Do not label all fault injection as malicious.</x:v>
      </x:c>
      <x:c r="I182" s="60" t="str">
        <x:v>Authors explicitly present a reliability benchmark. Treating fault propagation as attack evidence requires an explicit adversarial threat model, which is corpus interpretation.</x:v>
      </x:c>
      <x:c r="J182" s="60" t="str">
        <x:v>arXiv abstract; framework and fault-library sections; main propagation/recovery tables; exact pages require signoff</x:v>
      </x:c>
      <x:c r="K182" s="60" t="str">
        <x:v>yes</x:v>
      </x:c>
    </x:row>
    <x:row r="183">
      <x:c r="A183" s="60" t="str">
        <x:v>high</x:v>
      </x:c>
      <x:c r="B183" s="60" t="n">
        <x:v>98</x:v>
      </x:c>
      <x:c r="C183" s="60" t="str">
        <x:v>jia2026masfire</x:v>
      </x:c>
      <x:c r="D183" s="60" t="str">
        <x:v>MAS-FIRE: Fault Injection and Reliability Evaluation for LLM-Based Multi-Agent Systems</x:v>
      </x:c>
      <x:c r="E183" s="60" t="str">
        <x:v>cross_category</x:v>
      </x:c>
      <x:c r="F183" s="60" t="str">
        <x:v>metadata/scope/category/evidence/metric</x:v>
      </x:c>
      <x:c r="G183" s="60" t="str">
        <x:v>scope=adjacent; category=evaluation</x:v>
      </x:c>
      <x:c r="H183" s="60" t="str">
        <x:v>Separate propagation, masking, and recovery metrics from final task success.</x:v>
      </x:c>
      <x:c r="I183" s="60" t="str">
        <x:v>Authors explicitly present a reliability benchmark. Treating fault propagation as attack evidence requires an explicit adversarial threat model, which is corpus interpretation.</x:v>
      </x:c>
      <x:c r="J183" s="60" t="str">
        <x:v>arXiv abstract; framework and fault-library sections; main propagation/recovery tables; exact pages require signoff</x:v>
      </x:c>
      <x:c r="K183" s="60" t="str">
        <x:v>yes</x:v>
      </x:c>
    </x:row>
    <x:row r="184">
      <x:c r="A184" s="60" t="str">
        <x:v>medium</x:v>
      </x:c>
      <x:c r="B184" s="60" t="n">
        <x:v>99</x:v>
      </x:c>
      <x:c r="C184" s="60" t="str">
        <x:v>gonzalez2026multimodalsafety</x:v>
      </x:c>
      <x:c r="D184" s="60" t="str">
        <x:v>Multimodal Safety Evaluation in Generative Agent Social Simulations</x:v>
      </x:c>
      <x:c r="E184" s="60" t="str">
        <x:v>cross_category</x:v>
      </x:c>
      <x:c r="F184" s="60" t="str">
        <x:v>metadata/scope/category/evidence/metric</x:v>
      </x:c>
      <x:c r="G184" s="60" t="str">
        <x:v>scope=adjacent; category=evaluation</x:v>
      </x:c>
      <x:c r="H184" s="60" t="str">
        <x:v>Primary category benchmark/evaluation.</x:v>
      </x:c>
      <x:c r="I184" s="60" t="str">
        <x:v>The work is situational safety evaluation without a capability-bearing adversary; security relevance is indirect.</x:v>
      </x:c>
      <x:c r="J184" s="60" t="str">
        <x:v>ACL paper Abstract, sections 3-4, Figure 1, main results tables, pp. 41295-41310</x:v>
      </x:c>
      <x:c r="K184" s="60" t="str">
        <x:v>yes</x:v>
      </x:c>
    </x:row>
    <x:row r="185">
      <x:c r="A185" s="60" t="str">
        <x:v>medium</x:v>
      </x:c>
      <x:c r="B185" s="60" t="n">
        <x:v>99</x:v>
      </x:c>
      <x:c r="C185" s="60" t="str">
        <x:v>gonzalez2026multimodalsafety</x:v>
      </x:c>
      <x:c r="D185" s="60" t="str">
        <x:v>Multimodal Safety Evaluation in Generative Agent Social Simulations</x:v>
      </x:c>
      <x:c r="E185" s="60" t="str">
        <x:v>cross_category</x:v>
      </x:c>
      <x:c r="F185" s="60" t="str">
        <x:v>metadata/scope/category/evidence/metric</x:v>
      </x:c>
      <x:c r="G185" s="60" t="str">
        <x:v>scope=adjacent; category=evaluation</x:v>
      </x:c>
      <x:c r="H185" s="60" t="str">
        <x:v>Keep plan correction and action acceptance denominators separate.</x:v>
      </x:c>
      <x:c r="I185" s="60" t="str">
        <x:v>Authors report 55% correction of unsafe plans and 45% unsafe action acceptance under misleading visual cues. Coding as adjacent rather than core security is corpus interpretation.</x:v>
      </x:c>
      <x:c r="J185" s="60" t="str">
        <x:v>ACL paper Abstract, sections 3-4, Figure 1, main results tables, pp. 41295-41310</x:v>
      </x:c>
      <x:c r="K185" s="60" t="str">
        <x:v>yes</x:v>
      </x:c>
    </x:row>
    <x:row r="186">
      <x:c r="A186" s="60" t="str">
        <x:v>medium</x:v>
      </x:c>
      <x:c r="B186" s="60" t="n">
        <x:v>99</x:v>
      </x:c>
      <x:c r="C186" s="60" t="str">
        <x:v>gonzalez2026multimodalsafety</x:v>
      </x:c>
      <x:c r="D186" s="60" t="str">
        <x:v>Multimodal Safety Evaluation in Generative Agent Social Simulations</x:v>
      </x:c>
      <x:c r="E186" s="60" t="str">
        <x:v>cross_category</x:v>
      </x:c>
      <x:c r="F186" s="60" t="str">
        <x:v>metadata/scope/category/evidence/metric</x:v>
      </x:c>
      <x:c r="G186" s="60" t="str">
        <x:v>scope=adjacent; category=evaluation</x:v>
      </x:c>
      <x:c r="H186" s="60" t="str">
        <x:v>Do not use as evidence of adversarial MAS attacks.</x:v>
      </x:c>
      <x:c r="I186" s="60" t="str">
        <x:v>Authors report 55% correction of unsafe plans and 45% unsafe action acceptance under misleading visual cues. Coding as adjacent rather than core security is corpus interpretation.</x:v>
      </x:c>
      <x:c r="J186" s="60" t="str">
        <x:v>ACL paper Abstract, sections 3-4, Figure 1, main results tables, pp. 41295-41310</x:v>
      </x:c>
      <x:c r="K186" s="60" t="str">
        <x:v>yes</x:v>
      </x:c>
    </x:row>
    <x:row r="187">
      <x:c r="A187" s="60" t="str">
        <x:v>medium</x:v>
      </x:c>
      <x:c r="B187" s="60" t="n">
        <x:v>100</x:v>
      </x:c>
      <x:c r="C187" s="60" t="str">
        <x:v>dong2026pear</x:v>
      </x:c>
      <x:c r="D187" s="60" t="str">
        <x:v>PEAR: Planner-Executor Agent Robustness Benchmark</x:v>
      </x:c>
      <x:c r="E187" s="60" t="str">
        <x:v>cross_category</x:v>
      </x:c>
      <x:c r="F187" s="60" t="str">
        <x:v>metadata/scope/category/evidence/metric</x:v>
      </x:c>
      <x:c r="G187" s="60" t="str">
        <x:v>scope=core_security; category=evaluation</x:v>
      </x:c>
      <x:c r="H187" s="60" t="str">
        <x:v>Primary category benchmark/evaluation.</x:v>
      </x:c>
      <x:c r="I187" s="60" t="str">
        <x:v>Role-targeted prompt injection directly tests security of a two-agent planner-executor architecture.</x:v>
      </x:c>
      <x:c r="J187" s="60" t="str">
        <x:v>Findings EACL Abstract, sections 3-4, Figure 1, main tables, pp. 4547-4567</x:v>
      </x:c>
      <x:c r="K187" s="60" t="str">
        <x:v>yes</x:v>
      </x:c>
    </x:row>
    <x:row r="188">
      <x:c r="A188" s="60" t="str">
        <x:v>medium</x:v>
      </x:c>
      <x:c r="B188" s="60" t="n">
        <x:v>100</x:v>
      </x:c>
      <x:c r="C188" s="60" t="str">
        <x:v>dong2026pear</x:v>
      </x:c>
      <x:c r="D188" s="60" t="str">
        <x:v>PEAR: Planner-Executor Agent Robustness Benchmark</x:v>
      </x:c>
      <x:c r="E188" s="60" t="str">
        <x:v>cross_category</x:v>
      </x:c>
      <x:c r="F188" s="60" t="str">
        <x:v>metadata/scope/category/evidence/metric</x:v>
      </x:c>
      <x:c r="G188" s="60" t="str">
        <x:v>scope=core_security; category=evaluation</x:v>
      </x:c>
      <x:c r="H188" s="60" t="str">
        <x:v>State one planner plus one executor.</x:v>
      </x:c>
      <x:c r="I188" s="60" t="str">
        <x:v>Authors explicitly show role and memory dependence. Generalizing to arbitrary MAS topologies is not supported.</x:v>
      </x:c>
      <x:c r="J188" s="60" t="str">
        <x:v>Findings EACL Abstract, sections 3-4, Figure 1, main tables, pp. 4547-4567</x:v>
      </x:c>
      <x:c r="K188" s="60" t="str">
        <x:v>yes</x:v>
      </x:c>
    </x:row>
    <x:row r="189">
      <x:c r="A189" s="60" t="str">
        <x:v>medium</x:v>
      </x:c>
      <x:c r="B189" s="60" t="n">
        <x:v>100</x:v>
      </x:c>
      <x:c r="C189" s="60" t="str">
        <x:v>dong2026pear</x:v>
      </x:c>
      <x:c r="D189" s="60" t="str">
        <x:v>PEAR: Planner-Executor Agent Robustness Benchmark</x:v>
      </x:c>
      <x:c r="E189" s="60" t="str">
        <x:v>cross_category</x:v>
      </x:c>
      <x:c r="F189" s="60" t="str">
        <x:v>metadata/scope/category/evidence/metric</x:v>
      </x:c>
      <x:c r="G189" s="60" t="str">
        <x:v>scope=core_security; category=evaluation</x:v>
      </x:c>
      <x:c r="H189" s="60" t="str">
        <x:v>Do not call role position a graph topology result.</x:v>
      </x:c>
      <x:c r="I189" s="60" t="str">
        <x:v>Authors explicitly show role and memory dependence. Generalizing to arbitrary MAS topologies is not supported.</x:v>
      </x:c>
      <x:c r="J189" s="60" t="str">
        <x:v>Findings EACL Abstract, sections 3-4, Figure 1, main tables, pp. 4547-4567</x:v>
      </x:c>
      <x:c r="K189" s="60" t="str">
        <x:v>yes</x:v>
      </x:c>
    </x:row>
    <x:row r="190">
      <x:c r="A190" s="60" t="str">
        <x:v>medium</x:v>
      </x:c>
      <x:c r="B190" s="60" t="n">
        <x:v>100</x:v>
      </x:c>
      <x:c r="C190" s="60" t="str">
        <x:v>dong2026pear</x:v>
      </x:c>
      <x:c r="D190" s="60" t="str">
        <x:v>PEAR: Planner-Executor Agent Robustness Benchmark</x:v>
      </x:c>
      <x:c r="E190" s="60" t="str">
        <x:v>cross_category</x:v>
      </x:c>
      <x:c r="F190" s="60" t="str">
        <x:v>metadata/scope/category/evidence/metric</x:v>
      </x:c>
      <x:c r="G190" s="60" t="str">
        <x:v>scope=core_security; category=evaluation</x:v>
      </x:c>
      <x:c r="H190" s="60" t="str">
        <x:v>Keep withdrawn arXiv out of canonical counts.</x:v>
      </x:c>
      <x:c r="I190" s="60" t="str">
        <x:v>Authors explicitly show role and memory dependence. Generalizing to arbitrary MAS topologies is not supported.</x:v>
      </x:c>
      <x:c r="J190" s="60" t="str">
        <x:v>Findings EACL Abstract, sections 3-4, Figure 1, main tables, pp. 4547-4567</x:v>
      </x:c>
      <x:c r="K190" s="60" t="str">
        <x:v>yes</x:v>
      </x:c>
    </x:row>
    <x:row r="191">
      <x:c r="A191" s="60" t="str">
        <x:v>medium</x:v>
      </x:c>
      <x:c r="B191" s="60" t="n">
        <x:v>101</x:v>
      </x:c>
      <x:c r="C191" s="60" t="str">
        <x:v>jiang2026risklab</x:v>
      </x:c>
      <x:c r="D191" s="60" t="str">
        <x:v>RiskLab: A Controlled Toolkit for Probing Emergent Risks in LLM-Based Multi-Agent Systems</x:v>
      </x:c>
      <x:c r="E191" s="60" t="str">
        <x:v>cross_category</x:v>
      </x:c>
      <x:c r="F191" s="60" t="str">
        <x:v>metadata/scope/category/evidence/metric</x:v>
      </x:c>
      <x:c r="G191" s="60" t="str">
        <x:v>scope=security_relevant; category=evaluation</x:v>
      </x:c>
      <x:c r="H191" s="60" t="str">
        <x:v>Primary category system demonstration/evaluation, not attack.</x:v>
      </x:c>
      <x:c r="I191" s="60" t="str">
        <x:v>It probes collusion, resource overreach, drift, and strategic misreporting, but includes broad emergent risk and reliability concerns beyond adversarial security.</x:v>
      </x:c>
      <x:c r="J191" s="60" t="str">
        <x:v>ACL demo Abstract, sections 2-4, Figure 1, pp. 167-177</x:v>
      </x:c>
      <x:c r="K191" s="60" t="str">
        <x:v>yes</x:v>
      </x:c>
    </x:row>
    <x:row r="192">
      <x:c r="A192" s="60" t="str">
        <x:v>medium</x:v>
      </x:c>
      <x:c r="B192" s="60" t="n">
        <x:v>101</x:v>
      </x:c>
      <x:c r="C192" s="60" t="str">
        <x:v>jiang2026risklab</x:v>
      </x:c>
      <x:c r="D192" s="60" t="str">
        <x:v>RiskLab: A Controlled Toolkit for Probing Emergent Risks in LLM-Based Multi-Agent Systems</x:v>
      </x:c>
      <x:c r="E192" s="60" t="str">
        <x:v>cross_category</x:v>
      </x:c>
      <x:c r="F192" s="60" t="str">
        <x:v>metadata/scope/category/evidence/metric</x:v>
      </x:c>
      <x:c r="G192" s="60" t="str">
        <x:v>scope=security_relevant; category=evaluation</x:v>
      </x:c>
      <x:c r="H192" s="60" t="str">
        <x:v>Do not aggregate four probe families into one risk metric.</x:v>
      </x:c>
      <x:c r="I192" s="60" t="str">
        <x:v>Authors explicitly define the five-part experiment model and four probes. Treating the toolkit as comprehensive security coverage would be overreach.</x:v>
      </x:c>
      <x:c r="J192" s="60" t="str">
        <x:v>ACL demo Abstract, sections 2-4, Figure 1, pp. 167-177</x:v>
      </x:c>
      <x:c r="K192" s="60" t="str">
        <x:v>yes</x:v>
      </x:c>
    </x:row>
    <x:row r="193">
      <x:c r="A193" s="60" t="str">
        <x:v>medium</x:v>
      </x:c>
      <x:c r="B193" s="60" t="n">
        <x:v>101</x:v>
      </x:c>
      <x:c r="C193" s="60" t="str">
        <x:v>jiang2026risklab</x:v>
      </x:c>
      <x:c r="D193" s="60" t="str">
        <x:v>RiskLab: A Controlled Toolkit for Probing Emergent Risks in LLM-Based Multi-Agent Systems</x:v>
      </x:c>
      <x:c r="E193" s="60" t="str">
        <x:v>cross_category</x:v>
      </x:c>
      <x:c r="F193" s="60" t="str">
        <x:v>metadata/scope/category/evidence/metric</x:v>
      </x:c>
      <x:c r="G193" s="60" t="str">
        <x:v>scope=security_relevant; category=evaluation</x:v>
      </x:c>
      <x:c r="H193" s="60" t="str">
        <x:v>Keep security-relevant scope rather than blanket core security.</x:v>
      </x:c>
      <x:c r="I193" s="60" t="str">
        <x:v>Authors explicitly define the five-part experiment model and four probes. Treating the toolkit as comprehensive security coverage would be overreach.</x:v>
      </x:c>
      <x:c r="J193" s="60" t="str">
        <x:v>ACL demo Abstract, sections 2-4, Figure 1, pp. 167-177</x:v>
      </x:c>
      <x:c r="K193" s="60" t="str">
        <x:v>yes</x:v>
      </x:c>
    </x:row>
    <x:row r="194">
      <x:c r="A194" s="60" t="str">
        <x:v>medium</x:v>
      </x:c>
      <x:c r="B194" s="60" t="n">
        <x:v>102</x:v>
      </x:c>
      <x:c r="C194" s="60" t="str">
        <x:v>kavathekar2026tamas</x:v>
      </x:c>
      <x:c r="D194" s="60" t="str">
        <x:v>TAMAS: Benchmarking Adversarial Risks in Multi-Agent LLM Systems</x:v>
      </x:c>
      <x:c r="E194" s="60" t="str">
        <x:v>cross_category</x:v>
      </x:c>
      <x:c r="F194" s="60" t="str">
        <x:v>metadata/scope/category/evidence/metric</x:v>
      </x:c>
      <x:c r="G194" s="60" t="str">
        <x:v>scope=security_relevant; category=evaluation</x:v>
      </x:c>
      <x:c r="H194" s="60" t="str">
        <x:v>Primary category benchmark/evaluation.</x:v>
      </x:c>
      <x:c r="I194" s="60" t="str">
        <x:v>The benchmark explicitly measures adversarial confidentiality, integrity, availability, tool, identity, and execution failures in LLM MAS.</x:v>
      </x:c>
      <x:c r="J194" s="60" t="str">
        <x:v>ACL Abstract, section 5/5.1, Table 3 and results tables, pp. 31238-31268</x:v>
      </x:c>
      <x:c r="K194" s="60" t="str">
        <x:v>yes</x:v>
      </x:c>
    </x:row>
    <x:row r="195">
      <x:c r="A195" s="60" t="str">
        <x:v>medium</x:v>
      </x:c>
      <x:c r="B195" s="60" t="n">
        <x:v>102</x:v>
      </x:c>
      <x:c r="C195" s="60" t="str">
        <x:v>kavathekar2026tamas</x:v>
      </x:c>
      <x:c r="D195" s="60" t="str">
        <x:v>TAMAS: Benchmarking Adversarial Risks in Multi-Agent LLM Systems</x:v>
      </x:c>
      <x:c r="E195" s="60" t="str">
        <x:v>cross_category</x:v>
      </x:c>
      <x:c r="F195" s="60" t="str">
        <x:v>metadata/scope/category/evidence/metric</x:v>
      </x:c>
      <x:c r="G195" s="60" t="str">
        <x:v>scope=security_relevant; category=evaluation</x:v>
      </x:c>
      <x:c r="H195" s="60" t="str">
        <x:v>Change scope to core security.</x:v>
      </x:c>
      <x:c r="I195" s="60" t="str">
        <x:v>Authors explicitly report benchmark scale and ERS. Treating ERS as a general MAS robustness metric is unsupported.</x:v>
      </x:c>
      <x:c r="J195" s="60" t="str">
        <x:v>ACL Abstract, section 5/5.1, Table 3 and results tables, pp. 31238-31268</x:v>
      </x:c>
      <x:c r="K195" s="60" t="str">
        <x:v>yes</x:v>
      </x:c>
    </x:row>
    <x:row r="196">
      <x:c r="A196" s="60" t="str">
        <x:v>medium</x:v>
      </x:c>
      <x:c r="B196" s="60" t="n">
        <x:v>102</x:v>
      </x:c>
      <x:c r="C196" s="60" t="str">
        <x:v>kavathekar2026tamas</x:v>
      </x:c>
      <x:c r="D196" s="60" t="str">
        <x:v>TAMAS: Benchmarking Adversarial Risks in Multi-Agent LLM Systems</x:v>
      </x:c>
      <x:c r="E196" s="60" t="str">
        <x:v>cross_category</x:v>
      </x:c>
      <x:c r="F196" s="60" t="str">
        <x:v>metadata/scope/category/evidence/metric</x:v>
      </x:c>
      <x:c r="G196" s="60" t="str">
        <x:v>scope=security_relevant; category=evaluation</x:v>
      </x:c>
      <x:c r="H196" s="60" t="str">
        <x:v>Preserve separate ASR, TSR, and ERS definitions.</x:v>
      </x:c>
      <x:c r="I196" s="60" t="str">
        <x:v>Authors explicitly report benchmark scale and ERS. Treating ERS as a general MAS robustness metric is unsupported.</x:v>
      </x:c>
      <x:c r="J196" s="60" t="str">
        <x:v>ACL Abstract, section 5/5.1, Table 3 and results tables, pp. 31238-31268</x:v>
      </x:c>
      <x:c r="K196" s="60" t="str">
        <x:v>yes</x:v>
      </x:c>
    </x:row>
    <x:row r="197">
      <x:c r="A197" s="60" t="str">
        <x:v>medium</x:v>
      </x:c>
      <x:c r="B197" s="60" t="n">
        <x:v>102</x:v>
      </x:c>
      <x:c r="C197" s="60" t="str">
        <x:v>kavathekar2026tamas</x:v>
      </x:c>
      <x:c r="D197" s="60" t="str">
        <x:v>TAMAS: Benchmarking Adversarial Risks in Multi-Agent LLM Systems</x:v>
      </x:c>
      <x:c r="E197" s="60" t="str">
        <x:v>cross_category</x:v>
      </x:c>
      <x:c r="F197" s="60" t="str">
        <x:v>metadata/scope/category/evidence/metric</x:v>
      </x:c>
      <x:c r="G197" s="60" t="str">
        <x:v>scope=security_relevant; category=evaluation</x:v>
      </x:c>
      <x:c r="H197" s="60" t="str">
        <x:v>Do not infer population propagation from task-level ASR.</x:v>
      </x:c>
      <x:c r="I197" s="60" t="str">
        <x:v>Authors explicitly report benchmark scale and ERS. Treating ERS as a general MAS robustness metric is unsupported.</x:v>
      </x:c>
      <x:c r="J197" s="60" t="str">
        <x:v>ACL Abstract, section 5/5.1, Table 3 and results tables, pp. 31238-31268</x:v>
      </x:c>
      <x:c r="K197" s="60" t="str">
        <x:v>yes</x:v>
      </x:c>
    </x:row>
    <x:row r="198">
      <x:c r="A198" s="60" t="str">
        <x:v>medium</x:v>
      </x:c>
      <x:c r="B198" s="60" t="n">
        <x:v>103</x:v>
      </x:c>
      <x:c r="C198" s="60" t="str">
        <x:v>liu2026valueflow</x:v>
      </x:c>
      <x:c r="D198" s="60" t="str">
        <x:v>ValueFlow: Measuring the Propagation of Value Perturbations in Multi-Agent LLM Systems</x:v>
      </x:c>
      <x:c r="E198" s="60" t="str">
        <x:v>cross_category</x:v>
      </x:c>
      <x:c r="F198" s="60" t="str">
        <x:v>metadata/scope/category/evidence/metric</x:v>
      </x:c>
      <x:c r="G198" s="60" t="str">
        <x:v>scope=security_relevant; category=evaluation</x:v>
      </x:c>
      <x:c r="H198" s="60" t="str">
        <x:v>Primary category evaluation/benchmark, not attack.</x:v>
      </x:c>
      <x:c r="I198" s="60" t="str">
        <x:v>The work audits value propagation and collective susceptibility but uses controlled perturbations without a deployment adversary.</x:v>
      </x:c>
      <x:c r="J198" s="60" t="str">
        <x:v>arXiv Abstract, sections 2-5, Table 1, Figures 2 and 4-7</x:v>
      </x:c>
      <x:c r="K198" s="60" t="str">
        <x:v>yes</x:v>
      </x:c>
    </x:row>
    <x:row r="199">
      <x:c r="A199" s="60" t="str">
        <x:v>medium</x:v>
      </x:c>
      <x:c r="B199" s="60" t="n">
        <x:v>103</x:v>
      </x:c>
      <x:c r="C199" s="60" t="str">
        <x:v>liu2026valueflow</x:v>
      </x:c>
      <x:c r="D199" s="60" t="str">
        <x:v>ValueFlow: Measuring the Propagation of Value Perturbations in Multi-Agent LLM Systems</x:v>
      </x:c>
      <x:c r="E199" s="60" t="str">
        <x:v>cross_category</x:v>
      </x:c>
      <x:c r="F199" s="60" t="str">
        <x:v>metadata/scope/category/evidence/metric</x:v>
      </x:c>
      <x:c r="G199" s="60" t="str">
        <x:v>scope=security_relevant; category=evaluation</x:v>
      </x:c>
      <x:c r="H199" s="60" t="str">
        <x:v>Keep agent susceptibility and system susceptibility separate.</x:v>
      </x:c>
      <x:c r="I199" s="60" t="str">
        <x:v>Authors explicitly separate agent and system susceptibility. Coding it as objective-integrity evidence rather than a security attack is corpus interpretation.</x:v>
      </x:c>
      <x:c r="J199" s="60" t="str">
        <x:v>arXiv Abstract, sections 2-5, Table 1, Figures 2 and 4-7</x:v>
      </x:c>
      <x:c r="K199" s="60" t="str">
        <x:v>yes</x:v>
      </x:c>
    </x:row>
    <x:row r="200">
      <x:c r="A200" s="60" t="str">
        <x:v>medium</x:v>
      </x:c>
      <x:c r="B200" s="60" t="n">
        <x:v>103</x:v>
      </x:c>
      <x:c r="C200" s="60" t="str">
        <x:v>liu2026valueflow</x:v>
      </x:c>
      <x:c r="D200" s="60" t="str">
        <x:v>ValueFlow: Measuring the Propagation of Value Perturbations in Multi-Agent LLM Systems</x:v>
      </x:c>
      <x:c r="E200" s="60" t="str">
        <x:v>cross_category</x:v>
      </x:c>
      <x:c r="F200" s="60" t="str">
        <x:v>metadata/scope/category/evidence/metric</x:v>
      </x:c>
      <x:c r="G200" s="60" t="str">
        <x:v>scope=security_relevant; category=evaluation</x:v>
      </x:c>
      <x:c r="H200" s="60" t="str">
        <x:v>Scope should remain security-relevant rather than core attack evidence.</x:v>
      </x:c>
      <x:c r="I200" s="60" t="str">
        <x:v>Authors explicitly separate agent and system susceptibility. Coding it as objective-integrity evidence rather than a security attack is corpus interpretation.</x:v>
      </x:c>
      <x:c r="J200" s="60" t="str">
        <x:v>arXiv Abstract, sections 2-5, Table 1, Figures 2 and 4-7</x:v>
      </x:c>
      <x:c r="K200" s="60" t="str">
        <x:v>yes</x:v>
      </x:c>
    </x:row>
    <x:row r="201">
      <x:c r="A201" s="60" t="str">
        <x:v>high</x:v>
      </x:c>
      <x:c r="B201" s="60" t="n">
        <x:v>104</x:v>
      </x:c>
      <x:c r="C201" s="60" t="str">
        <x:v>allegrini2025formalizing</x:v>
      </x:c>
      <x:c r="D201" s="60" t="str">
        <x:v>Formalizing the Safety, Security, and Functional Properties of Agentic AI Systems</x:v>
      </x:c>
      <x:c r="E201" s="60" t="str">
        <x:v>cross_category</x:v>
      </x:c>
      <x:c r="F201" s="60" t="str">
        <x:v>metadata/scope/category/evidence/metric</x:v>
      </x:c>
      <x:c r="G201" s="60" t="str">
        <x:v>scope=core_security; category=general</x:v>
      </x:c>
      <x:c r="H201" s="60" t="str">
        <x:v>Change primary category from generic general/core-security to theoretical framework with security-relevant scope.</x:v>
      </x:c>
      <x:c r="I201" s="60" t="str">
        <x:v>It formalizes cross-protocol safety/security properties but is broader than LLM-MAS security and includes agent-tool composition.</x:v>
      </x:c>
      <x:c r="J201" s="60" t="str">
        <x:v>arXiv Abstract; formal model and property sections, pp. 3-8 in the corpus note; property definitions and architecture figure</x:v>
      </x:c>
      <x:c r="K201" s="60" t="str">
        <x:v>yes</x:v>
      </x:c>
    </x:row>
    <x:row r="202">
      <x:c r="A202" s="60" t="str">
        <x:v>high</x:v>
      </x:c>
      <x:c r="B202" s="60" t="n">
        <x:v>104</x:v>
      </x:c>
      <x:c r="C202" s="60" t="str">
        <x:v>allegrini2025formalizing</x:v>
      </x:c>
      <x:c r="D202" s="60" t="str">
        <x:v>Formalizing the Safety, Security, and Functional Properties of Agentic AI Systems</x:v>
      </x:c>
      <x:c r="E202" s="60" t="str">
        <x:v>cross_category</x:v>
      </x:c>
      <x:c r="F202" s="60" t="str">
        <x:v>metadata/scope/category/evidence/metric</x:v>
      </x:c>
      <x:c r="G202" s="60" t="str">
        <x:v>scope=core_security; category=general</x:v>
      </x:c>
      <x:c r="H202" s="60" t="str">
        <x:v>Record 31 formal properties precisely.</x:v>
      </x:c>
      <x:c r="I202" s="60" t="str">
        <x:v>Authors explicitly define two models and temporal-logic properties. Treating this as evidence that deployed systems violate them is unsupported.</x:v>
      </x:c>
      <x:c r="J202" s="60" t="str">
        <x:v>arXiv Abstract; formal model and property sections, pp. 3-8 in the corpus note; property definitions and architecture figure</x:v>
      </x:c>
      <x:c r="K202" s="60" t="str">
        <x:v>yes</x:v>
      </x:c>
    </x:row>
    <x:row r="203">
      <x:c r="A203" s="60" t="str">
        <x:v>high</x:v>
      </x:c>
      <x:c r="B203" s="60" t="n">
        <x:v>104</x:v>
      </x:c>
      <x:c r="C203" s="60" t="str">
        <x:v>allegrini2025formalizing</x:v>
      </x:c>
      <x:c r="D203" s="60" t="str">
        <x:v>Formalizing the Safety, Security, and Functional Properties of Agentic AI Systems</x:v>
      </x:c>
      <x:c r="E203" s="60" t="str">
        <x:v>cross_category</x:v>
      </x:c>
      <x:c r="F203" s="60" t="str">
        <x:v>metadata/scope/category/evidence/metric</x:v>
      </x:c>
      <x:c r="G203" s="60" t="str">
        <x:v>scope=core_security; category=general</x:v>
      </x:c>
      <x:c r="H203" s="60" t="str">
        <x:v>Do not treat formal expressiveness as empirical attack or defense coverage.</x:v>
      </x:c>
      <x:c r="I203" s="60" t="str">
        <x:v>Authors explicitly define two models and temporal-logic properties. Treating this as evidence that deployed systems violate them is unsupported.</x:v>
      </x:c>
      <x:c r="J203" s="60" t="str">
        <x:v>arXiv Abstract; formal model and property sections, pp. 3-8 in the corpus note; property definitions and architecture figure</x:v>
      </x:c>
      <x:c r="K203" s="60" t="str">
        <x:v>yes</x:v>
      </x:c>
    </x:row>
    <x:row r="204">
      <x:c r="A204" s="60" t="str">
        <x:v>medium</x:v>
      </x:c>
      <x:c r="B204" s="60" t="n">
        <x:v>105</x:v>
      </x:c>
      <x:c r="C204" s="60" t="str">
        <x:v>bellay2025safesystems</x:v>
      </x:c>
      <x:c r="D204" s="60" t="str">
        <x:v>Safe Systems with Unsafe Agents: Challenges and Opportunities</x:v>
      </x:c>
      <x:c r="E204" s="60" t="str">
        <x:v>cross_category</x:v>
      </x:c>
      <x:c r="F204" s="60" t="str">
        <x:v>metadata/scope/category/evidence/metric</x:v>
      </x:c>
      <x:c r="G204" s="60" t="str">
        <x:v>scope=adjacent; category=general</x:v>
      </x:c>
      <x:c r="H204" s="60" t="str">
        <x:v>Use full canonical title with ': Challenges and Opportunities'.</x:v>
      </x:c>
      <x:c r="I204" s="60" t="str">
        <x:v>It is a conceptual system-safety agenda rather than an LLM-specific technical security study.</x:v>
      </x:c>
      <x:c r="J204" s="60" t="str">
        <x:v>AAMAS official proceedings, Blue Sky section, pp. 2849-2853; main thesis throughout</x:v>
      </x:c>
      <x:c r="K204" s="60" t="str">
        <x:v>yes</x:v>
      </x:c>
    </x:row>
    <x:row r="205">
      <x:c r="A205" s="60" t="str">
        <x:v>medium</x:v>
      </x:c>
      <x:c r="B205" s="60" t="n">
        <x:v>105</x:v>
      </x:c>
      <x:c r="C205" s="60" t="str">
        <x:v>bellay2025safesystems</x:v>
      </x:c>
      <x:c r="D205" s="60" t="str">
        <x:v>Safe Systems with Unsafe Agents: Challenges and Opportunities</x:v>
      </x:c>
      <x:c r="E205" s="60" t="str">
        <x:v>cross_category</x:v>
      </x:c>
      <x:c r="F205" s="60" t="str">
        <x:v>metadata/scope/category/evidence/metric</x:v>
      </x:c>
      <x:c r="G205" s="60" t="str">
        <x:v>scope=adjacent; category=general</x:v>
      </x:c>
      <x:c r="H205" s="60" t="str">
        <x:v>Preserve adjacent status.</x:v>
      </x:c>
      <x:c r="I205" s="60" t="str">
        <x:v>The system-level thesis is explicit. Mapping it to the SoK's property-based taxonomy is corpus interpretation.</x:v>
      </x:c>
      <x:c r="J205" s="60" t="str">
        <x:v>AAMAS official proceedings, Blue Sky section, pp. 2849-2853; main thesis throughout</x:v>
      </x:c>
      <x:c r="K205" s="60" t="str">
        <x:v>yes</x:v>
      </x:c>
    </x:row>
    <x:row r="206">
      <x:c r="A206" s="60" t="str">
        <x:v>medium</x:v>
      </x:c>
      <x:c r="B206" s="60" t="n">
        <x:v>105</x:v>
      </x:c>
      <x:c r="C206" s="60" t="str">
        <x:v>bellay2025safesystems</x:v>
      </x:c>
      <x:c r="D206" s="60" t="str">
        <x:v>Safe Systems with Unsafe Agents: Challenges and Opportunities</x:v>
      </x:c>
      <x:c r="E206" s="60" t="str">
        <x:v>cross_category</x:v>
      </x:c>
      <x:c r="F206" s="60" t="str">
        <x:v>metadata/scope/category/evidence/metric</x:v>
      </x:c>
      <x:c r="G206" s="60" t="str">
        <x:v>scope=adjacent; category=general</x:v>
      </x:c>
      <x:c r="H206" s="60" t="str">
        <x:v>Never count it as evaluated defense coverage.</x:v>
      </x:c>
      <x:c r="I206" s="60" t="str">
        <x:v>The system-level thesis is explicit. Mapping it to the SoK's property-based taxonomy is corpus interpretation.</x:v>
      </x:c>
      <x:c r="J206" s="60" t="str">
        <x:v>AAMAS official proceedings, Blue Sky section, pp. 2849-2853; main thesis throughout</x:v>
      </x:c>
      <x:c r="K206" s="60" t="str">
        <x:v>yes</x:v>
      </x:c>
    </x:row>
    <x:row r="207">
      <x:c r="A207" s="60" t="str">
        <x:v>medium</x:v>
      </x:c>
      <x:c r="B207" s="60" t="n">
        <x:v>106</x:v>
      </x:c>
      <x:c r="C207" s="60" t="str">
        <x:v>hu2025responsibility</x:v>
      </x:c>
      <x:c r="D207" s="60" t="str">
        <x:v>Stop Reducing Responsibility in LLM-Powered Multi-Agent Systems to Local Alignment</x:v>
      </x:c>
      <x:c r="E207" s="60" t="str">
        <x:v>cross_category</x:v>
      </x:c>
      <x:c r="F207" s="60" t="str">
        <x:v>metadata/scope/category/evidence/metric</x:v>
      </x:c>
      <x:c r="G207" s="60" t="str">
        <x:v>scope=security_relevant; category=general</x:v>
      </x:c>
      <x:c r="H207" s="60" t="str">
        <x:v>Keep as general/position related work, not attack or defense evidence.</x:v>
      </x:c>
      <x:c r="I207" s="60" t="str">
        <x:v>The position paper includes adversarial vulnerability and global oversight but is primarily responsible-AI/governance theory.</x:v>
      </x:c>
      <x:c r="J207" s="60" t="str">
        <x:v>arXiv Abstract; framework sections on agreement, uncertainty, security, and governance</x:v>
      </x:c>
      <x:c r="K207" s="60" t="str">
        <x:v>yes</x:v>
      </x:c>
    </x:row>
    <x:row r="208">
      <x:c r="A208" s="60" t="str">
        <x:v>medium</x:v>
      </x:c>
      <x:c r="B208" s="60" t="n">
        <x:v>106</x:v>
      </x:c>
      <x:c r="C208" s="60" t="str">
        <x:v>hu2025responsibility</x:v>
      </x:c>
      <x:c r="D208" s="60" t="str">
        <x:v>Stop Reducing Responsibility in LLM-Powered Multi-Agent Systems to Local Alignment</x:v>
      </x:c>
      <x:c r="E208" s="60" t="str">
        <x:v>cross_category</x:v>
      </x:c>
      <x:c r="F208" s="60" t="str">
        <x:v>metadata/scope/category/evidence/metric</x:v>
      </x:c>
      <x:c r="G208" s="60" t="str">
        <x:v>scope=security_relevant; category=general</x:v>
      </x:c>
      <x:c r="H208" s="60" t="str">
        <x:v>Do not cite as empirical proof of collective drift prevalence.</x:v>
      </x:c>
      <x:c r="I208" s="60" t="str">
        <x:v>The global-responsibility thesis is explicit. Mapping it to objective-integrity and observer-scope categories is corpus interpretation.</x:v>
      </x:c>
      <x:c r="J208" s="60" t="str">
        <x:v>arXiv Abstract; framework sections on agreement, uncertainty, security, and governance</x:v>
      </x:c>
      <x:c r="K208" s="60" t="str">
        <x:v>yes</x:v>
      </x:c>
    </x:row>
    <x:row r="209">
      <x:c r="A209" s="60" t="str">
        <x:v>high</x:v>
      </x:c>
      <x:c r="B209" s="60" t="n">
        <x:v>107</x:v>
      </x:c>
      <x:c r="C209" s="60" t="str">
        <x:v>anbiaee2026protocols</x:v>
      </x:c>
      <x:c r="D209" s="60" t="str">
        <x:v>Security Threat Modeling for Emerging AI-Agent Protocols: A Comparative Analysis of MCP, A2A, Agora, and ANP</x:v>
      </x:c>
      <x:c r="E209" s="60" t="str">
        <x:v>cross_category</x:v>
      </x:c>
      <x:c r="F209" s="60" t="str">
        <x:v>metadata/scope/category/evidence/metric</x:v>
      </x:c>
      <x:c r="G209" s="60" t="str">
        <x:v>scope=core_security; category=general</x:v>
      </x:c>
      <x:c r="H209" s="60" t="str">
        <x:v>Primary category is threat modeling/comparative study, not attack.</x:v>
      </x:c>
      <x:c r="I209" s="60" t="str">
        <x:v>Protocol security is directly relevant, but the four-protocol corpus is not exclusively multiagent and includes a tool protocol.</x:v>
      </x:c>
      <x:c r="J209" s="60" t="str">
        <x:v>arXiv Abstract; protocol architecture and comparison sections; twelve-risk tables; MCP measurement case study</x:v>
      </x:c>
      <x:c r="K209" s="60" t="str">
        <x:v>yes</x:v>
      </x:c>
    </x:row>
    <x:row r="210">
      <x:c r="A210" s="60" t="str">
        <x:v>high</x:v>
      </x:c>
      <x:c r="B210" s="60" t="n">
        <x:v>107</x:v>
      </x:c>
      <x:c r="C210" s="60" t="str">
        <x:v>anbiaee2026protocols</x:v>
      </x:c>
      <x:c r="D210" s="60" t="str">
        <x:v>Security Threat Modeling for Emerging AI-Agent Protocols: A Comparative Analysis of MCP, A2A, Agora, and ANP</x:v>
      </x:c>
      <x:c r="E210" s="60" t="str">
        <x:v>cross_category</x:v>
      </x:c>
      <x:c r="F210" s="60" t="str">
        <x:v>metadata/scope/category/evidence/metric</x:v>
      </x:c>
      <x:c r="G210" s="60" t="str">
        <x:v>scope=core_security; category=general</x:v>
      </x:c>
      <x:c r="H210" s="60" t="str">
        <x:v>Downgrade blanket core-MAS scope to security-relevant mixed scope.</x:v>
      </x:c>
      <x:c r="I210" s="60" t="str">
        <x:v>Authors explicitly present systematic protocol analysis and a measurement case. Classifying MCP as mixed rather than pure MAS is corpus interpretation.</x:v>
      </x:c>
      <x:c r="J210" s="60" t="str">
        <x:v>arXiv Abstract; protocol architecture and comparison sections; twelve-risk tables; MCP measurement case study</x:v>
      </x:c>
      <x:c r="K210" s="60" t="str">
        <x:v>yes</x:v>
      </x:c>
    </x:row>
    <x:row r="211">
      <x:c r="A211" s="60" t="str">
        <x:v>high</x:v>
      </x:c>
      <x:c r="B211" s="60" t="n">
        <x:v>107</x:v>
      </x:c>
      <x:c r="C211" s="60" t="str">
        <x:v>anbiaee2026protocols</x:v>
      </x:c>
      <x:c r="D211" s="60" t="str">
        <x:v>Security Threat Modeling for Emerging AI-Agent Protocols: A Comparative Analysis of MCP, A2A, Agora, and ANP</x:v>
      </x:c>
      <x:c r="E211" s="60" t="str">
        <x:v>cross_category</x:v>
      </x:c>
      <x:c r="F211" s="60" t="str">
        <x:v>metadata/scope/category/evidence/metric</x:v>
      </x:c>
      <x:c r="G211" s="60" t="str">
        <x:v>scope=core_security; category=general</x:v>
      </x:c>
      <x:c r="H211" s="60" t="str">
        <x:v>Add the measurement-driven MCP case study omitted from the current note.</x:v>
      </x:c>
      <x:c r="I211" s="60" t="str">
        <x:v>Authors explicitly present systematic protocol analysis and a measurement case. Classifying MCP as mixed rather than pure MAS is corpus interpretation.</x:v>
      </x:c>
      <x:c r="J211" s="60" t="str">
        <x:v>arXiv Abstract; protocol architecture and comparison sections; twelve-risk tables; MCP measurement case study</x:v>
      </x:c>
      <x:c r="K211" s="60" t="str">
        <x:v>yes</x:v>
      </x:c>
    </x:row>
    <x:row r="212">
      <x:c r="A212" s="60" t="str">
        <x:v>high</x:v>
      </x:c>
      <x:c r="B212" s="60" t="n">
        <x:v>108</x:v>
      </x:c>
      <x:c r="C212" s="60" t="str">
        <x:v>yu2025trustworthyagents</x:v>
      </x:c>
      <x:c r="D212" s="60" t="str">
        <x:v>A Survey on Trustworthy LLM Agents: Threats and Countermeasures</x:v>
      </x:c>
      <x:c r="E212" s="60" t="str">
        <x:v>cross_category</x:v>
      </x:c>
      <x:c r="F212" s="60" t="str">
        <x:v>metadata/scope/category/evidence/metric</x:v>
      </x:c>
      <x:c r="G212" s="60" t="str">
        <x:v>scope=security_relevant; category=survey</x:v>
      </x:c>
      <x:c r="H212" s="60" t="str">
        <x:v>Correct author spelling from Linsey Pan to Linsey Pang.</x:v>
      </x:c>
      <x:c r="I212" s="60" t="str">
        <x:v>The survey covers MAS, but it is not interaction-primary and includes broad trustworthiness dimensions.</x:v>
      </x:c>
      <x:c r="J212" s="60" t="str">
        <x:v>Published KDD paper taxonomy/framework sections and taxonomy figure; pp. 6216-6226</x:v>
      </x:c>
      <x:c r="K212" s="60" t="str">
        <x:v>yes</x:v>
      </x:c>
    </x:row>
    <x:row r="213">
      <x:c r="A213" s="60" t="str">
        <x:v>high</x:v>
      </x:c>
      <x:c r="B213" s="60" t="n">
        <x:v>108</x:v>
      </x:c>
      <x:c r="C213" s="60" t="str">
        <x:v>yu2025trustworthyagents</x:v>
      </x:c>
      <x:c r="D213" s="60" t="str">
        <x:v>A Survey on Trustworthy LLM Agents: Threats and Countermeasures</x:v>
      </x:c>
      <x:c r="E213" s="60" t="str">
        <x:v>cross_category</x:v>
      </x:c>
      <x:c r="F213" s="60" t="str">
        <x:v>metadata/scope/category/evidence/metric</x:v>
      </x:c>
      <x:c r="G213" s="60" t="str">
        <x:v>scope=security_relevant; category=survey</x:v>
      </x:c>
      <x:c r="H213" s="60" t="str">
        <x:v>Keep survey as related work, not primary attack evidence.</x:v>
      </x:c>
      <x:c r="I213" s="60" t="str">
        <x:v>Authors explicitly split intrinsic and extrinsic trustworthiness. Calling peer-agent interaction secondary rather than primary is comparative corpus interpretation.</x:v>
      </x:c>
      <x:c r="J213" s="60" t="str">
        <x:v>Published KDD paper taxonomy/framework sections and taxonomy figure; pp. 6216-6226</x:v>
      </x:c>
      <x:c r="K213" s="60" t="str">
        <x:v>yes</x:v>
      </x:c>
    </x:row>
    <x:row r="214">
      <x:c r="A214" s="60" t="str">
        <x:v>high</x:v>
      </x:c>
      <x:c r="B214" s="60" t="n">
        <x:v>108</x:v>
      </x:c>
      <x:c r="C214" s="60" t="str">
        <x:v>yu2025trustworthyagents</x:v>
      </x:c>
      <x:c r="D214" s="60" t="str">
        <x:v>A Survey on Trustworthy LLM Agents: Threats and Countermeasures</x:v>
      </x:c>
      <x:c r="E214" s="60" t="str">
        <x:v>cross_category</x:v>
      </x:c>
      <x:c r="F214" s="60" t="str">
        <x:v>metadata/scope/category/evidence/metric</x:v>
      </x:c>
      <x:c r="G214" s="60" t="str">
        <x:v>scope=security_relevant; category=survey</x:v>
      </x:c>
      <x:c r="H214" s="60" t="str">
        <x:v>Do not count all cited papers as MAS security corpus.</x:v>
      </x:c>
      <x:c r="I214" s="60" t="str">
        <x:v>Authors explicitly split intrinsic and extrinsic trustworthiness. Calling peer-agent interaction secondary rather than primary is comparative corpus interpretation.</x:v>
      </x:c>
      <x:c r="J214" s="60" t="str">
        <x:v>Published KDD paper taxonomy/framework sections and taxonomy figure; pp. 6216-6226</x:v>
      </x:c>
      <x:c r="K214" s="60" t="str">
        <x:v>yes</x:v>
      </x:c>
    </x:row>
    <x:row r="215">
      <x:c r="A215" s="60" t="str">
        <x:v>medium</x:v>
      </x:c>
      <x:c r="B215" s="60" t="n">
        <x:v>109</x:v>
      </x:c>
      <x:c r="C215" s="60" t="str">
        <x:v>deng2025agentsunderthreat</x:v>
      </x:c>
      <x:c r="D215" s="60" t="str">
        <x:v>AI Agents Under Threat: A Survey of Key Security Challenges and Future Pathways</x:v>
      </x:c>
      <x:c r="E215" s="60" t="str">
        <x:v>cross_category</x:v>
      </x:c>
      <x:c r="F215" s="60" t="str">
        <x:v>metadata/scope/category/evidence/metric</x:v>
      </x:c>
      <x:c r="G215" s="60" t="str">
        <x:v>scope=security_relevant; category=survey</x:v>
      </x:c>
      <x:c r="H215" s="60" t="str">
        <x:v>Keep as general agent-security survey.</x:v>
      </x:c>
      <x:c r="I215" s="60" t="str">
        <x:v>Primary boundary is general AI agents and four knowledge gaps, not LLM-MAS interaction as the sole object.</x:v>
      </x:c>
      <x:c r="J215" s="60" t="str">
        <x:v>ACM CSUR abstract and taxonomy sections, 36-page article</x:v>
      </x:c>
      <x:c r="K215" s="60" t="str">
        <x:v>yes</x:v>
      </x:c>
    </x:row>
    <x:row r="216">
      <x:c r="A216" s="60" t="str">
        <x:v>medium</x:v>
      </x:c>
      <x:c r="B216" s="60" t="n">
        <x:v>109</x:v>
      </x:c>
      <x:c r="C216" s="60" t="str">
        <x:v>deng2025agentsunderthreat</x:v>
      </x:c>
      <x:c r="D216" s="60" t="str">
        <x:v>AI Agents Under Threat: A Survey of Key Security Challenges and Future Pathways</x:v>
      </x:c>
      <x:c r="E216" s="60" t="str">
        <x:v>cross_category</x:v>
      </x:c>
      <x:c r="F216" s="60" t="str">
        <x:v>metadata/scope/category/evidence/metric</x:v>
      </x:c>
      <x:c r="G216" s="60" t="str">
        <x:v>scope=security_relevant; category=survey</x:v>
      </x:c>
      <x:c r="H216" s="60" t="str">
        <x:v>Do not describe it as MAS-primary or use it as sole evidence for an attack.</x:v>
      </x:c>
      <x:c r="I216" s="60" t="str">
        <x:v>The four knowledge gaps are author-defined. Coding MAS as partial is corpus interpretation.</x:v>
      </x:c>
      <x:c r="J216" s="60" t="str">
        <x:v>ACM CSUR abstract and taxonomy sections, 36-page article</x:v>
      </x:c>
      <x:c r="K216" s="60" t="str">
        <x:v>yes</x:v>
      </x:c>
    </x:row>
    <x:row r="217">
      <x:c r="A217" s="60" t="str">
        <x:v>medium</x:v>
      </x:c>
      <x:c r="B217" s="60" t="n">
        <x:v>109</x:v>
      </x:c>
      <x:c r="C217" s="60" t="str">
        <x:v>deng2025agentsunderthreat</x:v>
      </x:c>
      <x:c r="D217" s="60" t="str">
        <x:v>AI Agents Under Threat: A Survey of Key Security Challenges and Future Pathways</x:v>
      </x:c>
      <x:c r="E217" s="60" t="str">
        <x:v>cross_category</x:v>
      </x:c>
      <x:c r="F217" s="60" t="str">
        <x:v>metadata/scope/category/evidence/metric</x:v>
      </x:c>
      <x:c r="G217" s="60" t="str">
        <x:v>scope=security_relevant; category=survey</x:v>
      </x:c>
      <x:c r="H217" s="60" t="str">
        <x:v>Add volume/issue/article metadata.</x:v>
      </x:c>
      <x:c r="I217" s="60" t="str">
        <x:v>The four knowledge gaps are author-defined. Coding MAS as partial is corpus interpretation.</x:v>
      </x:c>
      <x:c r="J217" s="60" t="str">
        <x:v>ACM CSUR abstract and taxonomy sections, 36-page article</x:v>
      </x:c>
      <x:c r="K217" s="60" t="str">
        <x:v>yes</x:v>
      </x:c>
    </x:row>
    <x:row r="218">
      <x:c r="A218" s="60" t="str">
        <x:v>high</x:v>
      </x:c>
      <x:c r="B218" s="60" t="n">
        <x:v>110</x:v>
      </x:c>
      <x:c r="C218" s="60" t="str">
        <x:v>schroederdewitt2025openchallenges</x:v>
      </x:c>
      <x:c r="D218" s="60" t="str">
        <x:v>Open Challenges in Multi-Agent Security: Towards Secure Systems of Interacting AI Agents</x:v>
      </x:c>
      <x:c r="E218" s="60" t="str">
        <x:v>cross_category</x:v>
      </x:c>
      <x:c r="F218" s="60" t="str">
        <x:v>metadata/scope/category/evidence/metric</x:v>
      </x:c>
      <x:c r="G218" s="60" t="str">
        <x:v>scope=security_relevant; category=survey</x:v>
      </x:c>
      <x:c r="H218" s="60" t="str">
        <x:v>Replace 'Christian Schroeder de Witt et al.' in canonical metadata with the full 24-author list.</x:v>
      </x:c>
      <x:c r="I218" s="60" t="str">
        <x:v>This is directly a multi-agent security framing and agenda, although not an auditable systematic corpus review.</x:v>
      </x:c>
      <x:c r="J218" s="60" t="str">
        <x:v>arXiv PDF pp. 1-3 for definition/non-compositionality; threat taxonomy, trade-off, and agenda sections throughout</x:v>
      </x:c>
      <x:c r="K218" s="60" t="str">
        <x:v>yes</x:v>
      </x:c>
    </x:row>
    <x:row r="219">
      <x:c r="A219" s="60" t="str">
        <x:v>high</x:v>
      </x:c>
      <x:c r="B219" s="60" t="n">
        <x:v>110</x:v>
      </x:c>
      <x:c r="C219" s="60" t="str">
        <x:v>schroederdewitt2025openchallenges</x:v>
      </x:c>
      <x:c r="D219" s="60" t="str">
        <x:v>Open Challenges in Multi-Agent Security: Towards Secure Systems of Interacting AI Agents</x:v>
      </x:c>
      <x:c r="E219" s="60" t="str">
        <x:v>cross_category</x:v>
      </x:c>
      <x:c r="F219" s="60" t="str">
        <x:v>metadata/scope/category/evidence/metric</x:v>
      </x:c>
      <x:c r="G219" s="60" t="str">
        <x:v>scope=security_relevant; category=survey</x:v>
      </x:c>
      <x:c r="H219" s="60" t="str">
        <x:v>Upgrade scope to core multi-agent security.</x:v>
      </x:c>
      <x:c r="I219" s="60" t="str">
        <x:v>Authors explicitly call the taxonomy preliminary and adopt an anticipatory posture. It must not be presented as an exhaustive systematic corpus review.</x:v>
      </x:c>
      <x:c r="J219" s="60" t="str">
        <x:v>arXiv PDF pp. 1-3 for definition/non-compositionality; threat taxonomy, trade-off, and agenda sections throughout</x:v>
      </x:c>
      <x:c r="K219" s="60" t="str">
        <x:v>yes</x:v>
      </x:c>
    </x:row>
    <x:row r="220">
      <x:c r="A220" s="60" t="str">
        <x:v>high</x:v>
      </x:c>
      <x:c r="B220" s="60" t="n">
        <x:v>110</x:v>
      </x:c>
      <x:c r="C220" s="60" t="str">
        <x:v>schroederdewitt2025openchallenges</x:v>
      </x:c>
      <x:c r="D220" s="60" t="str">
        <x:v>Open Challenges in Multi-Agent Security: Towards Secure Systems of Interacting AI Agents</x:v>
      </x:c>
      <x:c r="E220" s="60" t="str">
        <x:v>cross_category</x:v>
      </x:c>
      <x:c r="F220" s="60" t="str">
        <x:v>metadata/scope/category/evidence/metric</x:v>
      </x:c>
      <x:c r="G220" s="60" t="str">
        <x:v>scope=security_relevant; category=survey</x:v>
      </x:c>
      <x:c r="H220" s="60" t="str">
        <x:v>Explicitly label as anticipatory agenda, not empirical prevalence evidence.</x:v>
      </x:c>
      <x:c r="I220" s="60" t="str">
        <x:v>Authors explicitly call the taxonomy preliminary and adopt an anticipatory posture. It must not be presented as an exhaustive systematic corpus review.</x:v>
      </x:c>
      <x:c r="J220" s="60" t="str">
        <x:v>arXiv PDF pp. 1-3 for definition/non-compositionality; threat taxonomy, trade-off, and agenda sections throughout</x:v>
      </x:c>
      <x:c r="K220" s="60" t="str">
        <x:v>yes</x:v>
      </x:c>
    </x:row>
    <x:row r="221">
      <x:c r="A221" s="60" t="str">
        <x:v>medium</x:v>
      </x:c>
      <x:c r="B221" s="60" t="n">
        <x:v>111</x:v>
      </x:c>
      <x:c r="C221" s="60" t="str">
        <x:v>he2025emergedsecurity</x:v>
      </x:c>
      <x:c r="D221" s="60" t="str">
        <x:v>The Emerged Security and Privacy of LLM Agent: A Survey with Case Studies</x:v>
      </x:c>
      <x:c r="E221" s="60" t="str">
        <x:v>cross_category</x:v>
      </x:c>
      <x:c r="F221" s="60" t="str">
        <x:v>metadata/scope/category/evidence/metric</x:v>
      </x:c>
      <x:c r="G221" s="60" t="str">
        <x:v>scope=security_relevant; category=survey</x:v>
      </x:c>
      <x:c r="H221" s="60" t="str">
        <x:v>Add final volume/issue/article metadata.</x:v>
      </x:c>
      <x:c r="I221" s="60" t="str">
        <x:v>Primary object is general LLM agents across planning, memory, tools, interaction, and deployment.</x:v>
      </x:c>
      <x:c r="J221" s="60" t="str">
        <x:v>Published ACM CSUR Abstract, taxonomy, case-study, defense, and future-work sections</x:v>
      </x:c>
      <x:c r="K221" s="60" t="str">
        <x:v>yes</x:v>
      </x:c>
    </x:row>
    <x:row r="222">
      <x:c r="A222" s="60" t="str">
        <x:v>medium</x:v>
      </x:c>
      <x:c r="B222" s="60" t="n">
        <x:v>111</x:v>
      </x:c>
      <x:c r="C222" s="60" t="str">
        <x:v>he2025emergedsecurity</x:v>
      </x:c>
      <x:c r="D222" s="60" t="str">
        <x:v>The Emerged Security and Privacy of LLM Agent: A Survey with Case Studies</x:v>
      </x:c>
      <x:c r="E222" s="60" t="str">
        <x:v>cross_category</x:v>
      </x:c>
      <x:c r="F222" s="60" t="str">
        <x:v>metadata/scope/category/evidence/metric</x:v>
      </x:c>
      <x:c r="G222" s="60" t="str">
        <x:v>scope=security_relevant; category=survey</x:v>
      </x:c>
      <x:c r="H222" s="60" t="str">
        <x:v>Keep MAS as partial.</x:v>
      </x:c>
      <x:c r="I222" s="60" t="str">
        <x:v>The survey-plus-case-study contribution is explicit. Classifying it as broader than MAS is corpus interpretation.</x:v>
      </x:c>
      <x:c r="J222" s="60" t="str">
        <x:v>Published ACM CSUR Abstract, taxonomy, case-study, defense, and future-work sections</x:v>
      </x:c>
      <x:c r="K222" s="60" t="str">
        <x:v>yes</x:v>
      </x:c>
    </x:row>
    <x:row r="223">
      <x:c r="A223" s="60" t="str">
        <x:v>medium</x:v>
      </x:c>
      <x:c r="B223" s="60" t="n">
        <x:v>111</x:v>
      </x:c>
      <x:c r="C223" s="60" t="str">
        <x:v>he2025emergedsecurity</x:v>
      </x:c>
      <x:c r="D223" s="60" t="str">
        <x:v>The Emerged Security and Privacy of LLM Agent: A Survey with Case Studies</x:v>
      </x:c>
      <x:c r="E223" s="60" t="str">
        <x:v>cross_category</x:v>
      </x:c>
      <x:c r="F223" s="60" t="str">
        <x:v>metadata/scope/category/evidence/metric</x:v>
      </x:c>
      <x:c r="G223" s="60" t="str">
        <x:v>scope=security_relevant; category=survey</x:v>
      </x:c>
      <x:c r="H223" s="60" t="str">
        <x:v>Do not use survey case studies as primary evidence for attack efficacy or prevalence.</x:v>
      </x:c>
      <x:c r="I223" s="60" t="str">
        <x:v>The survey-plus-case-study contribution is explicit. Classifying it as broader than MAS is corpus interpretation.</x:v>
      </x:c>
      <x:c r="J223" s="60" t="str">
        <x:v>Published ACM CSUR Abstract, taxonomy, case-study, defense, and future-work sections</x:v>
      </x:c>
      <x:c r="K223" s="60" t="str">
        <x:v>yes</x:v>
      </x:c>
    </x:row>
    <x:row r="224">
      <x:c r="A224" s="60" t="str">
        <x:v>high</x:v>
      </x:c>
      <x:c r="B224" s="60" t="n">
        <x:v>112</x:v>
      </x:c>
      <x:c r="C224" s="60" t="str">
        <x:v>ko2026sevenchallenges</x:v>
      </x:c>
      <x:c r="D224" s="60" t="str">
        <x:v>Seven Security Challenges in Cross-Domain Multi-Agent LLM Systems</x:v>
      </x:c>
      <x:c r="E224" s="60" t="str">
        <x:v>cross_category</x:v>
      </x:c>
      <x:c r="F224" s="60" t="str">
        <x:v>metadata/scope/category/evidence/metric</x:v>
      </x:c>
      <x:c r="G224" s="60" t="str">
        <x:v>scope=security_relevant; category=survey</x:v>
      </x:c>
      <x:c r="H224" s="60" t="str">
        <x:v>Upgrade scope from merely security-relevant to core MAS security.</x:v>
      </x:c>
      <x:c r="I224" s="60" t="str">
        <x:v>It directly studies security challenges in cross-domain LLM MAS, although it is a perspective rather than systematic empirical review.</x:v>
      </x:c>
      <x:c r="J224" s="60" t="str">
        <x:v>Nature Perspective Abstract and seven challenge sections; published article metadata</x:v>
      </x:c>
      <x:c r="K224" s="60" t="str">
        <x:v>yes</x:v>
      </x:c>
    </x:row>
    <x:row r="225">
      <x:c r="A225" s="60" t="str">
        <x:v>high</x:v>
      </x:c>
      <x:c r="B225" s="60" t="n">
        <x:v>112</x:v>
      </x:c>
      <x:c r="C225" s="60" t="str">
        <x:v>ko2026sevenchallenges</x:v>
      </x:c>
      <x:c r="D225" s="60" t="str">
        <x:v>Seven Security Challenges in Cross-Domain Multi-Agent LLM Systems</x:v>
      </x:c>
      <x:c r="E225" s="60" t="str">
        <x:v>cross_category</x:v>
      </x:c>
      <x:c r="F225" s="60" t="str">
        <x:v>metadata/scope/category/evidence/metric</x:v>
      </x:c>
      <x:c r="G225" s="60" t="str">
        <x:v>scope=security_relevant; category=survey</x:v>
      </x:c>
      <x:c r="H225" s="60" t="str">
        <x:v>Label Perspective and unedited early-access status.</x:v>
      </x:c>
      <x:c r="I225" s="60" t="str">
        <x:v>Authors explicitly present seven challenges and plausible evaluation metrics. Treating them as established empirical attack classes would overstate the paper.</x:v>
      </x:c>
      <x:c r="J225" s="60" t="str">
        <x:v>Nature Perspective Abstract and seven challenge sections; published article metadata</x:v>
      </x:c>
      <x:c r="K225" s="60" t="str">
        <x:v>yes</x:v>
      </x:c>
    </x:row>
    <x:row r="226">
      <x:c r="A226" s="60" t="str">
        <x:v>high</x:v>
      </x:c>
      <x:c r="B226" s="60" t="n">
        <x:v>112</x:v>
      </x:c>
      <x:c r="C226" s="60" t="str">
        <x:v>ko2026sevenchallenges</x:v>
      </x:c>
      <x:c r="D226" s="60" t="str">
        <x:v>Seven Security Challenges in Cross-Domain Multi-Agent LLM Systems</x:v>
      </x:c>
      <x:c r="E226" s="60" t="str">
        <x:v>cross_category</x:v>
      </x:c>
      <x:c r="F226" s="60" t="str">
        <x:v>metadata/scope/category/evidence/metric</x:v>
      </x:c>
      <x:c r="G226" s="60" t="str">
        <x:v>scope=security_relevant; category=survey</x:v>
      </x:c>
      <x:c r="H226" s="60" t="str">
        <x:v>Do not count plausible attacks as empirical evidence.</x:v>
      </x:c>
      <x:c r="I226" s="60" t="str">
        <x:v>Authors explicitly present seven challenges and plausible evaluation metrics. Treating them as established empirical attack classes would overstate the paper.</x:v>
      </x:c>
      <x:c r="J226" s="60" t="str">
        <x:v>Nature Perspective Abstract and seven challenge sections; published article metadata</x:v>
      </x:c>
      <x:c r="K226" s="60" t="str">
        <x:v>yes</x:v>
      </x:c>
    </x:row>
    <x:row r="227">
      <x:c r="A227" s="60" t="str">
        <x:v>medium</x:v>
      </x:c>
      <x:c r="B227" s="60" t="n">
        <x:v>113</x:v>
      </x:c>
      <x:c r="C227" s="60" t="str">
        <x:v>kim2026agenticai</x:v>
      </x:c>
      <x:c r="D227" s="60" t="str">
        <x:v>SoK: Attack and Defense Landscape of Agentic AI Systems</x:v>
      </x:c>
      <x:c r="E227" s="60" t="str">
        <x:v>cross_category</x:v>
      </x:c>
      <x:c r="F227" s="60" t="str">
        <x:v>metadata/scope/category/evidence/metric</x:v>
      </x:c>
      <x:c r="G227" s="60" t="str">
        <x:v>scope=security_relevant; category=survey</x:v>
      </x:c>
      <x:c r="H227" s="60" t="str">
        <x:v>Do not describe Kim as simply single-agent; it includes MAS partially.</x:v>
      </x:c>
      <x:c r="I227" s="60" t="str">
        <x:v>The paper is core agentic-AI security but not MAS-primary; it is the key single-agent/component-centric comparator.</x:v>
      </x:c>
      <x:c r="J227" s="60" t="str">
        <x:v>USENIX official page and prepublication PDF; overview/system-model/attack/defense sections</x:v>
      </x:c>
      <x:c r="K227" s="60" t="str">
        <x:v>yes</x:v>
      </x:c>
    </x:row>
    <x:row r="228">
      <x:c r="A228" s="60" t="str">
        <x:v>medium</x:v>
      </x:c>
      <x:c r="B228" s="60" t="n">
        <x:v>113</x:v>
      </x:c>
      <x:c r="C228" s="60" t="str">
        <x:v>kim2026agenticai</x:v>
      </x:c>
      <x:c r="D228" s="60" t="str">
        <x:v>SoK: Attack and Defense Landscape of Agentic AI Systems</x:v>
      </x:c>
      <x:c r="E228" s="60" t="str">
        <x:v>cross_category</x:v>
      </x:c>
      <x:c r="F228" s="60" t="str">
        <x:v>metadata/scope/category/evidence/metric</x:v>
      </x:c>
      <x:c r="G228" s="60" t="str">
        <x:v>scope=security_relevant; category=survey</x:v>
      </x:c>
      <x:c r="H228" s="60" t="str">
        <x:v>Position the gap as different unit of analysis, not absence.</x:v>
      </x:c>
      <x:c r="I228" s="60" t="str">
        <x:v>Authors explicitly claim a comprehensive agentic-AI security systematization. Calling it component-centric and MAS-secondary is comparative corpus interpretation that should be backed by table/content coding.</x:v>
      </x:c>
      <x:c r="J228" s="60" t="str">
        <x:v>USENIX official page and prepublication PDF; overview/system-model/attack/defense sections</x:v>
      </x:c>
      <x:c r="K228" s="60" t="str">
        <x:v>yes</x:v>
      </x:c>
    </x:row>
    <x:row r="229">
      <x:c r="A229" s="60" t="str">
        <x:v>medium</x:v>
      </x:c>
      <x:c r="B229" s="60" t="n">
        <x:v>113</x:v>
      </x:c>
      <x:c r="C229" s="60" t="str">
        <x:v>kim2026agenticai</x:v>
      </x:c>
      <x:c r="D229" s="60" t="str">
        <x:v>SoK: Attack and Defense Landscape of Agentic AI Systems</x:v>
      </x:c>
      <x:c r="E229" s="60" t="str">
        <x:v>cross_category</x:v>
      </x:c>
      <x:c r="F229" s="60" t="str">
        <x:v>metadata/scope/category/evidence/metric</x:v>
      </x:c>
      <x:c r="G229" s="60" t="str">
        <x:v>scope=security_relevant; category=survey</x:v>
      </x:c>
      <x:c r="H229" s="60" t="str">
        <x:v>Keep exact USENIX status and avoid invented MAS percentage unless measured.</x:v>
      </x:c>
      <x:c r="I229" s="60" t="str">
        <x:v>Authors explicitly claim a comprehensive agentic-AI security systematization. Calling it component-centric and MAS-secondary is comparative corpus interpretation that should be backed by table/content coding.</x:v>
      </x:c>
      <x:c r="J229" s="60" t="str">
        <x:v>USENIX official page and prepublication PDF; overview/system-model/attack/defense sections</x:v>
      </x:c>
      <x:c r="K229" s="60" t="str">
        <x:v>yes</x:v>
      </x:c>
    </x:row>
    <x:row r="230">
      <x:c r="A230" s="60" t="str">
        <x:v>medium</x:v>
      </x:c>
      <x:c r="B230" s="60" t="n">
        <x:v>114</x:v>
      </x:c>
      <x:c r="C230" s="60" t="str">
        <x:v>raza2026trism</x:v>
      </x:c>
      <x:c r="D230" s="60" t="str">
        <x:v>TRiSM for Agentic AI: A Review of Trust, Risk, and Security Management in LLM-based Agentic Multi-Agent Systems</x:v>
      </x:c>
      <x:c r="E230" s="60" t="str">
        <x:v>cross_category</x:v>
      </x:c>
      <x:c r="F230" s="60" t="str">
        <x:v>metadata/scope/category/evidence/metric</x:v>
      </x:c>
      <x:c r="G230" s="60" t="str">
        <x:v>scope=security_relevant; category=survey</x:v>
      </x:c>
      <x:c r="H230" s="60" t="str">
        <x:v>Use final AI Open metadata and merge arXiv.</x:v>
      </x:c>
      <x:c r="I230" s="60" t="str">
        <x:v>Security is one TRiSM pillar among explainability, ModelOps, privacy, and lifecycle governance.</x:v>
      </x:c>
      <x:c r="J230" s="60" t="str">
        <x:v>AI Open Abstract and framework/metrics sections, pp. 71-95</x:v>
      </x:c>
      <x:c r="K230" s="60" t="str">
        <x:v>yes</x:v>
      </x:c>
    </x:row>
    <x:row r="231">
      <x:c r="A231" s="60" t="str">
        <x:v>medium</x:v>
      </x:c>
      <x:c r="B231" s="60" t="n">
        <x:v>114</x:v>
      </x:c>
      <x:c r="C231" s="60" t="str">
        <x:v>raza2026trism</x:v>
      </x:c>
      <x:c r="D231" s="60" t="str">
        <x:v>TRiSM for Agentic AI: A Review of Trust, Risk, and Security Management in LLM-based Agentic Multi-Agent Systems</x:v>
      </x:c>
      <x:c r="E231" s="60" t="str">
        <x:v>cross_category</x:v>
      </x:c>
      <x:c r="F231" s="60" t="str">
        <x:v>metadata/scope/category/evidence/metric</x:v>
      </x:c>
      <x:c r="G231" s="60" t="str">
        <x:v>scope=security_relevant; category=survey</x:v>
      </x:c>
      <x:c r="H231" s="60" t="str">
        <x:v>Keep security-relevant rather than pure technical security.</x:v>
      </x:c>
      <x:c r="I231" s="60" t="str">
        <x:v>The five TRiSM pillars and CSS/TUE concepts are explicit. Coding it as governance-primary rather than a technical attack/defense SoK is comparative interpretation.</x:v>
      </x:c>
      <x:c r="J231" s="60" t="str">
        <x:v>AI Open Abstract and framework/metrics sections, pp. 71-95</x:v>
      </x:c>
      <x:c r="K231" s="60" t="str">
        <x:v>yes</x:v>
      </x:c>
    </x:row>
    <x:row r="232">
      <x:c r="A232" s="60" t="str">
        <x:v>medium</x:v>
      </x:c>
      <x:c r="B232" s="60" t="n">
        <x:v>114</x:v>
      </x:c>
      <x:c r="C232" s="60" t="str">
        <x:v>raza2026trism</x:v>
      </x:c>
      <x:c r="D232" s="60" t="str">
        <x:v>TRiSM for Agentic AI: A Review of Trust, Risk, and Security Management in LLM-based Agentic Multi-Agent Systems</x:v>
      </x:c>
      <x:c r="E232" s="60" t="str">
        <x:v>cross_category</x:v>
      </x:c>
      <x:c r="F232" s="60" t="str">
        <x:v>metadata/scope/category/evidence/metric</x:v>
      </x:c>
      <x:c r="G232" s="60" t="str">
        <x:v>scope=security_relevant; category=survey</x:v>
      </x:c>
      <x:c r="H232" s="60" t="str">
        <x:v>Do not treat CSS/TUE as standardized empirical security metrics.</x:v>
      </x:c>
      <x:c r="I232" s="60" t="str">
        <x:v>The five TRiSM pillars and CSS/TUE concepts are explicit. Coding it as governance-primary rather than a technical attack/defense SoK is comparative interpretation.</x:v>
      </x:c>
      <x:c r="J232" s="60" t="str">
        <x:v>AI Open Abstract and framework/metrics sections, pp. 71-95</x:v>
      </x:c>
      <x:c r="K232" s="60" t="str">
        <x:v>yes</x:v>
      </x:c>
    </x:row>
  </x:sheetData>
  <x:conditionalFormatting sqref="A2:A232">
    <x:cfRule type="expression" dxfId="2" priority="1">
      <x:formula>A2="critical"</x:formula>
    </x:cfRule>
    <x:cfRule type="expression" dxfId="3" priority="2">
      <x:formula>A2="high"</x:formula>
    </x:cfRule>
    <x:cfRule type="expression" dxfId="4" priority="3">
      <x:formula>A2="medium"</x:formula>
    </x:cfRule>
  </x:conditionalFormatting>
  <x:pageMargins left="0.7" right="0.7" top="0.75" bottom="0.75" header="0.3" footer="0.3"/>
  <x:tableParts count="1">
    <x:tablePart xmlns:r="http://schemas.openxmlformats.org/officeDocument/2006/relationships" r:id="Rad90671e427e4f67"/>
  </x:tableParts>
</x:worksheet>
</file>

<file path=xl/worksheets/sheet7.xml><?xml version="1.0" encoding="utf-8"?>
<x:worksheet xmlns:x="http://schemas.openxmlformats.org/spreadsheetml/2006/main">
  <x:sheetFormatPr defaultRowHeight="15"/>
  <x:cols>
    <x:col min="1" max="1" width="9" hidden="0" customWidth="1"/>
    <x:col min="2" max="2" width="25" hidden="0" customWidth="1"/>
    <x:col min="3" max="3" width="48" hidden="0" customWidth="1"/>
    <x:col min="4" max="4" width="13" hidden="0" customWidth="1"/>
    <x:col min="5" max="5" width="48" hidden="0" customWidth="1"/>
    <x:col min="6" max="6" width="60" hidden="0" customWidth="1"/>
  </x:cols>
  <x:sheetData>
    <x:row r="1" ht="34" customHeight="1">
      <x:c r="A1" s="53" t="str">
        <x:v>Priority</x:v>
      </x:c>
      <x:c r="B1" s="53" t="str">
        <x:v>Paper ID</x:v>
      </x:c>
      <x:c r="C1" s="53" t="str">
        <x:v>Title</x:v>
      </x:c>
      <x:c r="D1" s="53" t="str">
        <x:v>Type</x:v>
      </x:c>
      <x:c r="E1" s="53" t="str">
        <x:v>Outcome / Recommendation</x:v>
      </x:c>
      <x:c r="F1" s="53" t="str">
        <x:v>Required Action</x:v>
      </x:c>
    </x:row>
    <x:row r="2">
      <x:c r="A2" s="60" t="n">
        <x:v>5</x:v>
      </x:c>
      <x:c r="B2" s="60" t="str">
        <x:v>ju2026flooding</x:v>
      </x:c>
      <x:c r="C2" s="60" t="str">
        <x:v>Flooding Spread of Manipulated Knowledge in LLM-Based Multi-Agent Communities</x:v>
      </x:c>
      <x:c r="D2" s="60" t="str">
        <x:v>BLOCKER</x:v>
      </x:c>
      <x:c r="E2" s="60" t="str">
        <x:v>pending_final_source_verification</x:v>
      </x:c>
      <x:c r="F2" s="60" t="str">
        <x:v>See load-bearing correction log and detailed source review.</x:v>
      </x:c>
    </x:row>
    <x:row r="3">
      <x:c r="A3" s="60" t="n">
        <x:v>20</x:v>
      </x:c>
      <x:c r="B3" s="60" t="str">
        <x:v>li2026a2asecbench</x:v>
      </x:c>
      <x:c r="C3" s="60" t="str">
        <x:v>A2ASecBench: A Protocol-Aware Security Benchmark for Agent-to-Agent Multi-Agent Systems</x:v>
      </x:c>
      <x:c r="D3" s="60" t="str">
        <x:v>BLOCKER</x:v>
      </x:c>
      <x:c r="E3" s="60" t="str">
        <x:v>pending_exact_full-text_verification</x:v>
      </x:c>
      <x:c r="F3" s="60" t="str">
        <x:v>See load-bearing correction log and detailed source review.</x:v>
      </x:c>
    </x:row>
    <x:row r="4">
      <x:c r="A4" s="60" t="n">
        <x:v>90</x:v>
      </x:c>
      <x:c r="B4" s="60" t="str">
        <x:v>zou2026calbench</x:v>
      </x:c>
      <x:c r="C4" s="60" t="str">
        <x:v>CalBench: Evaluating Coordination-Privacy Trade-offs in Multi-Agent LLMs</x:v>
      </x:c>
      <x:c r="D4" s="60" t="str">
        <x:v>BLOCKER</x:v>
      </x:c>
      <x:c r="E4" s="60" t="str">
        <x:v>blocked_metadata_signoff</x:v>
      </x:c>
      <x:c r="F4" s="60" t="str">
        <x:v>Resolve four-author arXiv metadata versus five-author PDF title-block conflict. Replace vague N/M notation with canonical N=5, M=5 in main suite. Do not call Table 1 N=135/45 “number of agents”; it is evaluated seats.</x:v>
      </x:c>
    </x:row>
    <x:row r="5">
      <x:c r="A5" s="60" t="n">
        <x:v>22</x:v>
      </x:c>
      <x:c r="B5" s="60" t="str">
        <x:v>amayuelas2024collaboration_attack</x:v>
      </x:c>
      <x:c r="C5" s="60" t="str">
        <x:v>MultiAgent Collaboration Attack: Investigating Adversarial Attacks in Large Language Model Collaborations via Debate</x:v>
      </x:c>
      <x:c r="D5" s="60" t="str">
        <x:v>PROMOTION</x:v>
      </x:c>
      <x:c r="E5" s="60" t="str">
        <x:v>yes</x:v>
      </x:c>
      <x:c r="F5" s="60" t="str">
        <x:v>Keep attack/core_security. Ensure metrics are coded as question-level majority accuracy and adversary agreement, not generic ASR. Record debate topology rather than unspecified collaboration.</x:v>
      </x:c>
    </x:row>
    <x:row r="6">
      <x:c r="A6" s="60" t="n">
        <x:v>23</x:v>
      </x:c>
      <x:c r="B6" s="60" t="str">
        <x:v>khan2025agents_under_siege</x:v>
      </x:c>
      <x:c r="C6" s="60" t="str">
        <x:v>Agents Under Siege: Breaking Pragmatic Multi-Agent LLM Systems with Optimized Prompt Attacks</x:v>
      </x:c>
      <x:c r="D6" s="60" t="str">
        <x:v>PROMOTION</x:v>
      </x:c>
      <x:c r="E6" s="60" t="str">
        <x:v>yes</x:v>
      </x:c>
      <x:c r="F6" s="60" t="str">
        <x:v>Keep attack/core_security. Clarify that primary outcome is target jailbreak, not system-wide compromise. Do not confuse stochastic sample size M with number of agents. Encode ASR denominator as harmful prompt/test case.</x:v>
      </x:c>
    </x:row>
    <x:row r="7">
      <x:c r="A7" s="60" t="n">
        <x:v>24</x:v>
      </x:c>
      <x:c r="B7" s="60" t="str">
        <x:v>peigne2025security_tax</x:v>
      </x:c>
      <x:c r="C7" s="60" t="str">
        <x:v>Multi-Agent Security Tax: Trading Off Security and Collaboration Capabilities in Multi-Agent Systems</x:v>
      </x:c>
      <x:c r="D7" s="60" t="str">
        <x:v>PROMOTION</x:v>
      </x:c>
      <x:c r="E7" s="60" t="str">
        <x:v>yes</x:v>
      </x:c>
      <x:c r="F7" s="60" t="str">
        <x:v>Normalize canonical author metadata; keep attack/core_security; encode system robustness and cooperation separately; mark harmful action as simulated code request, not real-world execution.</x:v>
      </x:c>
    </x:row>
    <x:row r="8">
      <x:c r="A8" s="60" t="n">
        <x:v>25</x:v>
      </x:c>
      <x:c r="B8" s="60" t="str">
        <x:v>zhang2025allies_foes</x:v>
      </x:c>
      <x:c r="C8" s="60" t="str">
        <x:v>When Allies Turn Foes: Exploring Group Characteristics of LLM-Based Multi-Agent Collaborative Systems Under Adversarial Attacks</x:v>
      </x:c>
      <x:c r="D8" s="60" t="str">
        <x:v>PROMOTION</x:v>
      </x:c>
      <x:c r="E8" s="60" t="str">
        <x:v>yes</x:v>
      </x:c>
      <x:c r="F8" s="60" t="str">
        <x:v>Clarify that communication strategies are schedules rather than general graph topology; encode SDI with its question/agent/round denominator; keep external impact claims narrow.</x:v>
      </x:c>
    </x:row>
    <x:row r="9">
      <x:c r="A9" s="60" t="n">
        <x:v>26</x:v>
      </x:c>
      <x:c r="B9" s="60" t="str">
        <x:v>zhu2025master</x:v>
      </x:c>
      <x:c r="C9" s="60" t="str">
        <x:v>MASTER: Multi-Agent Security Through Exploration of Roles and Topological Structures - A Comprehensive Framework</x:v>
      </x:c>
      <x:c r="D9" s="60" t="str">
        <x:v>PROMOTION</x:v>
      </x:c>
      <x:c r="E9" s="60" t="str">
        <x:v>yes</x:v>
      </x:c>
      <x:c r="F9" s="60" t="str">
        <x:v>Reclassify primary role from attack to evaluation/framework; do not report one fixed agent count; distinguish generated harmful cooperation from verified real-world harm; preserve ASR denominator.</x:v>
      </x:c>
    </x:row>
    <x:row r="10">
      <x:c r="A10" s="60" t="n">
        <x:v>28</x:v>
      </x:c>
      <x:c r="B10" s="60" t="str">
        <x:v>yan2026evo_attacker</x:v>
      </x:c>
      <x:c r="C10" s="60" t="str">
        <x:v>Evo-Attacker: Memory-Augmented Reinforcement Learning for Long-Horizon Tool Attacks on LLM-MAS</x:v>
      </x:c>
      <x:c r="D10" s="60" t="str">
        <x:v>PROMOTION</x:v>
      </x:c>
      <x:c r="E10" s="60" t="str">
        <x:v>yes</x:v>
      </x:c>
      <x:c r="F10" s="60" t="str">
        <x:v>Do not label its reported metrics as ASR; preserve tool-channel-only visibility and B=3 constraint; do not infer n from G=8 rollouts; narrow “system collapse” to task failure.</x:v>
      </x:c>
    </x:row>
    <x:row r="11">
      <x:c r="A11" s="60" t="n">
        <x:v>29</x:v>
      </x:c>
      <x:c r="B11" s="60" t="str">
        <x:v>yan2026mast</x:v>
      </x:c>
      <x:c r="C11" s="60" t="str">
        <x:v>Attack the Messages, Not the Agents: A Multi-round Adaptive Stealthy Tampering Framework for LLM-MAS</x:v>
      </x:c>
      <x:c r="D11" s="60" t="str">
        <x:v>PROMOTION</x:v>
      </x:c>
      <x:c r="E11" s="60" t="str">
        <x:v>yes</x:v>
      </x:c>
      <x:c r="F11" s="60" t="str">
        <x:v>Separate task-level ASR from message-level stealth denominator; retain strong on-path and graph-knowledge assumptions; do not describe agents themselves as compromised.</x:v>
      </x:c>
    </x:row>
    <x:row r="12">
      <x:c r="A12" s="60" t="n">
        <x:v>30</x:v>
      </x:c>
      <x:c r="B12" s="60" t="str">
        <x:v>wang2026shadows_code</x:v>
      </x:c>
      <x:c r="C12" s="60" t="str">
        <x:v>Shadows in the Code: Exploring the Risks and Defenses of LLM-based Multi-Agent Software Development Systems</x:v>
      </x:c>
      <x:c r="D12" s="60" t="str">
        <x:v>PROMOTION</x:v>
      </x:c>
      <x:c r="E12" s="60" t="str">
        <x:v>yes</x:v>
      </x:c>
      <x:c r="F12" s="60" t="str">
        <x:v>Reclassify paper-level role from attack to evaluation; do not claim fixed agent count; distinguish verified malicious code behavior from real-world compromise.</x:v>
      </x:c>
    </x:row>
    <x:row r="13">
      <x:c r="A13" s="60" t="n">
        <x:v>31</x:v>
      </x:c>
      <x:c r="B13" s="60" t="str">
        <x:v>wu2026cia</x:v>
      </x:c>
      <x:c r="C13" s="60" t="str">
        <x:v>CIA: Inferring the Communication Topology from LLM-based Multi-Agent Systems</x:v>
      </x:c>
      <x:c r="D13" s="60" t="str">
        <x:v>PROMOTION</x:v>
      </x:c>
      <x:c r="E13" s="60" t="str">
        <x:v>yes</x:v>
      </x:c>
      <x:c r="F13" s="60" t="str">
        <x:v>Keep primary failure structural confidentiality; record AUC per edge; remove any claim that topology was modified or that later exploitation was verified.</x:v>
      </x:c>
    </x:row>
    <x:row r="14">
      <x:c r="A14" s="60" t="n">
        <x:v>33</x:v>
      </x:c>
      <x:c r="B14" s="60" t="str">
        <x:v>zhou2026hierarchical_attacks</x:v>
      </x:c>
      <x:c r="C14" s="60" t="str">
        <x:v>Hierarchical Attacks for Multi-Modal Multi-Agent Reasoning</x:v>
      </x:c>
      <x:c r="D14" s="60" t="str">
        <x:v>PROMOTION</x:v>
      </x:c>
      <x:c r="E14" s="60" t="str">
        <x:v>yes</x:v>
      </x:c>
      <x:c r="F14" s="60" t="str">
        <x:v>Reclassify paper-level role as evaluation/attack suite; split claim-level failure categories; record ASR as clean-correct-sample rate; do not treat all variants as equally interaction-native.</x:v>
      </x:c>
    </x:row>
    <x:row r="15">
      <x:c r="A15" s="60" t="n">
        <x:v>34</x:v>
      </x:c>
      <x:c r="B15" s="60" t="str">
        <x:v>kong2026web_fraud</x:v>
      </x:c>
      <x:c r="C15" s="60" t="str">
        <x:v>Web Fraud Attacks Against LLM-Driven Multi-Agent Systems</x:v>
      </x:c>
      <x:c r="D15" s="60" t="str">
        <x:v>PROMOTION</x:v>
      </x:c>
      <x:c r="E15" s="60" t="str">
        <x:v>yes</x:v>
      </x:c>
      <x:c r="F15" s="60" t="str">
        <x:v>Keep ASR definition tied to auditor risk label and ten repeats; separate observed recommendation failure from speculative downstream harm.</x:v>
      </x:c>
    </x:row>
    <x:row r="16">
      <x:c r="A16" s="60" t="n">
        <x:v>36</x:v>
      </x:c>
      <x:c r="B16" s="60" t="str">
        <x:v>hagag2026architecture_matters</x:v>
      </x:c>
      <x:c r="C16" s="60" t="str">
        <x:v>Architecture Matters for Multi-Agent Security</x:v>
      </x:c>
      <x:c r="D16" s="60" t="str">
        <x:v>PROMOTION</x:v>
      </x:c>
      <x:c r="E16" s="60" t="str">
        <x:v>yes</x:v>
      </x:c>
      <x:c r="F16" s="60" t="str">
        <x:v>Correct venue to AIWILD workshop at ICML 2026; change primary category to evaluation; preserve stagewise metrics and ratio context.</x:v>
      </x:c>
    </x:row>
    <x:row r="17">
      <x:c r="A17" s="60" t="n">
        <x:v>37</x:v>
      </x:c>
      <x:c r="B17" s="60" t="str">
        <x:v>ren2026financial_fraud</x:v>
      </x:c>
      <x:c r="C17" s="60" t="str">
        <x:v>When AI Agents Collude Online: Financial Fraud Risks by Collaborative LLM Agents on Social Platforms</x:v>
      </x:c>
      <x:c r="D17" s="60" t="str">
        <x:v>PROMOTION</x:v>
      </x:c>
      <x:c r="E17" s="60" t="str">
        <x:v>yes</x:v>
      </x:c>
      <x:c r="F17" s="60" t="str">
        <x:v>Change paper-level role to evaluation/benchmark; do not call simulated transfers real financial loss; record each denominator separately; verify final ICLR canonical PDF.</x:v>
      </x:c>
    </x:row>
    <x:row r="18">
      <x:c r="A18" s="60" t="n">
        <x:v>38</x:v>
      </x:c>
      <x:c r="B18" s="60" t="str">
        <x:v>bowers2025code_injection</x:v>
      </x:c>
      <x:c r="C18" s="60" t="str">
        <x:v>Analyzing Code Injection Attacks on LLM-based Multi-Agent Systems in Software Development</x:v>
      </x:c>
      <x:c r="D18" s="60" t="str">
        <x:v>PROMOTION</x:v>
      </x:c>
      <x:c r="E18" s="60" t="str">
        <x:v>yes</x:v>
      </x:c>
      <x:c r="F18" s="60" t="str">
        <x:v>Change primary role to evaluation; retain exact 86.59%/71.95% model conditions; do not report production compromise or exfiltration as observed.</x:v>
      </x:c>
    </x:row>
    <x:row r="19">
      <x:c r="A19" s="60" t="n">
        <x:v>39</x:v>
      </x:c>
      <x:c r="B19" s="60" t="str">
        <x:v>jha2026control_flow_hijacking</x:v>
      </x:c>
      <x:c r="C19" s="60" t="str">
        <x:v>Breaking and Fixing Defenses Against Control-Flow Hijacking in Multi-Agent Systems</x:v>
      </x:c>
      <x:c r="D19" s="60" t="str">
        <x:v>PROMOTION</x:v>
      </x:c>
      <x:c r="E19" s="60" t="str">
        <x:v>yes</x:v>
      </x:c>
      <x:c r="F19" s="60" t="str">
        <x:v>Reclassify primary from attack to defense; code attack and defense claims separately; qualify zero ASR; preserve trusted-orchestrator/full-transition-visibility assumption.</x:v>
      </x:c>
    </x:row>
    <x:row r="20">
      <x:c r="A20" s="60" t="n">
        <x:v>40</x:v>
      </x:c>
      <x:c r="B20" s="60" t="str">
        <x:v>zhang2026embedding_defenses</x:v>
      </x:c>
      <x:c r="C20" s="60" t="str">
        <x:v>When Embedding-Based Defenses Fail: Rethinking Safety in LLM-Based Multi-Agent Systems</x:v>
      </x:c>
      <x:c r="D20" s="60" t="str">
        <x:v>PROMOTION</x:v>
      </x:c>
      <x:c r="E20" s="60" t="str">
        <x:v>yes</x:v>
      </x:c>
      <x:c r="F20" s="60" t="str">
        <x:v>Reclassify primary from attack to defense; separate task ASR and attribution AUROC; record access to logits as a strong assumption; do not claim confidence is generally robust.</x:v>
      </x:c>
    </x:row>
    <x:row r="21">
      <x:c r="A21" s="60" t="n">
        <x:v>41</x:v>
      </x:c>
      <x:c r="B21" s="60" t="str">
        <x:v>kraidia2026collaboration_fails</x:v>
      </x:c>
      <x:c r="C21" s="60" t="str">
        <x:v>When collaboration fails: persuasion driven adversarial influence in multi agent large language model debate</x:v>
      </x:c>
      <x:c r="D21" s="60" t="str">
        <x:v>PROMOTION</x:v>
      </x:c>
      <x:c r="E21" s="60" t="str">
        <x:v>yes</x:v>
      </x:c>
      <x:c r="F21" s="60" t="str">
        <x:v>Retain as attack-primary; record the two metric components separately; do not quote 10–40% or &gt;30% without “across tested settings”; do not equate benchmark vote corruption with real-world harm.</x:v>
      </x:c>
    </x:row>
    <x:row r="22">
      <x:c r="A22" s="60" t="n">
        <x:v>42</x:v>
      </x:c>
      <x:c r="B22" s="60" t="str">
        <x:v>xu2026trust_paradox</x:v>
      </x:c>
      <x:c r="C22" s="60" t="str">
        <x:v>The Trust Paradox in LLM-Based Multi-Agent Systems: When Collaboration Becomes a Security Vulnerability</x:v>
      </x:c>
      <x:c r="D22" s="60" t="str">
        <x:v>PROMOTION</x:v>
      </x:c>
      <x:c r="E22" s="60" t="str">
        <x:v>yes</x:v>
      </x:c>
      <x:c r="F22" s="60" t="str">
        <x:v>Reclassify primary from attack to evaluation; downgrade whole-paper scope to security_relevant while retaining core-security claim records for malicious over-exposure; separate OER/AD units; add final IEEE pages when available.</x:v>
      </x:c>
    </x:row>
    <x:row r="23">
      <x:c r="A23" s="60" t="n">
        <x:v>43</x:v>
      </x:c>
      <x:c r="B23" s="60" t="str">
        <x:v>lee2026prompt_infection</x:v>
      </x:c>
      <x:c r="C23" s="60" t="str">
        <x:v>Prompt Infection: LLM-to-LLM Prompt Injection within Multi-agent Systems</x:v>
      </x:c>
      <x:c r="D23" s="60" t="str">
        <x:v>PROMOTION</x:v>
      </x:c>
      <x:c r="E23" s="60" t="str">
        <x:v>yes</x:v>
      </x:c>
      <x:c r="F23" s="60" t="str">
        <x:v>Use published three-author version; record event/year carefully; keep attack-primary but mark evidence tier as workshop; split propagation metric from downstream impacts and per-workflow ASR.</x:v>
      </x:c>
    </x:row>
    <x:row r="24">
      <x:c r="A24" s="60" t="n">
        <x:v>44</x:v>
      </x:c>
      <x:c r="B24" s="60" t="str">
        <x:v>yang2026among_us</x:v>
      </x:c>
      <x:c r="C24" s="60" t="str">
        <x:v>Among Us: Measuring and Mitigating Malicious Contributions in Model Collaboration Systems</x:v>
      </x:c>
      <x:c r="D24" s="60" t="str">
        <x:v>PROMOTION</x:v>
      </x:c>
      <x:c r="E24" s="60" t="str">
        <x:v>yes</x:v>
      </x:c>
      <x:c r="F24" s="60" t="str">
        <x:v>Reclassify primary from attack to evaluation; downgrade whole-paper scope to security_relevant; split text-exchange core claims from API/logit/weight adjacent claims; never call performance-degradation percentages ASR.</x:v>
      </x:c>
    </x:row>
    <x:row r="25">
      <x:c r="A25" s="60" t="n">
        <x:v>45</x:v>
      </x:c>
      <x:c r="B25" s="60" t="str">
        <x:v>yu2025codes</x:v>
      </x:c>
      <x:c r="C25" s="60" t="str">
        <x:v>LLM-based Multi-Agents System Attack via Continuous Optimization with Discrete Efficient Search</x:v>
      </x:c>
      <x:c r="D25" s="60" t="str">
        <x:v>PROMOTION</x:v>
      </x:c>
      <x:c r="E25" s="60" t="str">
        <x:v>yes</x:v>
      </x:c>
      <x:c r="F25" s="60" t="str">
        <x:v>Keep attack-primary; preserve single-intervention constraint; do not infer population-scale epidemic behavior or compare its success directly with agent-fraction infection metrics.</x:v>
      </x:c>
    </x:row>
    <x:row r="26">
      <x:c r="A26" s="60" t="n">
        <x:v>50</x:v>
      </x:c>
      <x:c r="B26" s="60" t="str">
        <x:v>zhu2025_collaborative_shadows</x:v>
      </x:c>
      <x:c r="C26" s="60" t="str">
        <x:v>Collaborative Shadows: Distributed Backdoor Attacks in LLM-Based Multi-Agent Systems</x:v>
      </x:c>
      <x:c r="D26" s="60" t="str">
        <x:v>PROMOTION</x:v>
      </x:c>
      <x:c r="E26" s="60" t="str">
        <x:v>yes</x:v>
      </x:c>
      <x:c r="F26" s="60" t="str">
        <x:v>Keep attack-primary but label preliminary; separate ASR from benign accuracy/accidental triggers; avoid broad impossibility claim about local scanning; code confidentiality only for relevant payloads.</x:v>
      </x:c>
    </x:row>
    <x:row r="27">
      <x:c r="A27" s="60" t="n">
        <x:v>51</x:v>
      </x:c>
      <x:c r="B27" s="60" t="str">
        <x:v>liang2025_dont_trust_upstream</x:v>
      </x:c>
      <x:c r="C27" s="60" t="str">
        <x:v>Don't Trust Your Upstream: Exploiting LLM Multi-Agent System via Topology-Guided Adversarial Propagation</x:v>
      </x:c>
      <x:c r="D27" s="60" t="str">
        <x:v>PROMOTION</x:v>
      </x:c>
      <x:c r="E27" s="60" t="str">
        <x:v>yes</x:v>
      </x:c>
      <x:c r="F27" s="60" t="str">
        <x:v>Keep attack-primary and core scope; label preprint; distinguish reconstruction F1, ASR, application 17/20, and blocking rate; qualify “real-world”; split topology inference from authority impact.</x:v>
      </x:c>
    </x:row>
    <x:row r="28">
      <x:c r="A28" s="60" t="n">
        <x:v>53</x:v>
      </x:c>
      <x:c r="B28" s="60" t="str">
        <x:v>lupinacci2025darkside</x:v>
      </x:c>
      <x:c r="C28" s="60" t="str">
        <x:v>The Dark Side of LLMs: Agent-based Attack Vectors for System-level Compromise</x:v>
      </x:c>
      <x:c r="D28" s="60" t="str">
        <x:v>PROMOTION</x:v>
      </x:c>
      <x:c r="E28" s="60" t="str">
        <x:v>yes</x:v>
      </x:c>
      <x:c r="F28" s="60" t="str">
        <x:v>Downgrade paper scope to security_relevant; separate MAS condition from single-agent comparators; state 100% as 18/18 tested model backbones; do not generalize to universal compromise.</x:v>
      </x:c>
    </x:row>
    <x:row r="29">
      <x:c r="A29" s="60" t="n">
        <x:v>55</x:v>
      </x:c>
      <x:c r="B29" s="60" t="str">
        <x:v>ahad2026sif</x:v>
      </x:c>
      <x:c r="C29" s="60" t="str">
        <x:v>Semantic Intent Fragmentation: A Single-Shot Compositional Attack on Multi-Agent AI Pipelines</x:v>
      </x:c>
      <x:c r="D29" s="60" t="str">
        <x:v>PROMOTION</x:v>
      </x:c>
      <x:c r="E29" s="60" t="str">
        <x:v>yes</x:v>
      </x:c>
      <x:c r="F29" s="60" t="str">
        <x:v>Downgrade scope to security_relevant/boundary; clarify 10/14 denominator; qualify “all detected/no false positives”; do not count classifier families as agents; author signoff publisher metadata.</x:v>
      </x:c>
    </x:row>
    <x:row r="30">
      <x:c r="A30" s="60" t="n">
        <x:v>60</x:v>
      </x:c>
      <x:c r="B30" s="60" t="str">
        <x:v>long2025funcpoison</x:v>
      </x:c>
      <x:c r="C30" s="60" t="str">
        <x:v>FuncPoison: Poisoning Function Library to Hijack Multi-agent Autonomous Driving Systems</x:v>
      </x:c>
      <x:c r="D30" s="60" t="str">
        <x:v>PROMOTION</x:v>
      </x:c>
      <x:c r="E30" s="60" t="str">
        <x:v>yes</x:v>
      </x:c>
      <x:c r="F30" s="60" t="str">
        <x:v>Keep attack-primary; require ASR threshold in every numeric claim; separate tool-state integrity and trajectory impact; avoid real-world safety extrapolation.</x:v>
      </x:c>
    </x:row>
    <x:row r="31">
      <x:c r="A31" s="60" t="n">
        <x:v>61</x:v>
      </x:c>
      <x:c r="B31" s="60" t="str">
        <x:v>naik2026omni_leak</x:v>
      </x:c>
      <x:c r="C31" s="60" t="str">
        <x:v>OMNI-LEAK: Orchestrator Multi-Agent Network Induced Data Leakage</x:v>
      </x:c>
      <x:c r="D31" s="60" t="str">
        <x:v>PROMOTION</x:v>
      </x:c>
      <x:c r="E31" s="60" t="str">
        <x:v>yes</x:v>
      </x:c>
      <x:c r="F31" s="60" t="str">
        <x:v>Keep attack-primary/core; label preprint; preserve exact success predicate; clarify agent count and seven-author list; do not generalize to all orchestrator MAS.</x:v>
      </x:c>
    </x:row>
    <x:row r="32">
      <x:c r="A32" s="60" t="n">
        <x:v>62</x:v>
      </x:c>
      <x:c r="B32" s="60" t="str">
        <x:v>zhou2026shield_target</x:v>
      </x:c>
      <x:c r="C32" s="60" t="str">
        <x:v>From Shield to Target: Denial-of-Service Attacks on LLM-Based Agent Guardrails</x:v>
      </x:c>
      <x:c r="D32" s="60" t="str">
        <x:v>PROMOTION</x:v>
      </x:c>
      <x:c r="E32" s="60" t="str">
        <x:v>yes</x:v>
      </x:c>
      <x:c r="F32" s="60" t="str">
        <x:v>Retain security_relevant rather than core; isolate MAS-specific starvation claim; separate token/latency ratios from ASR; do not label primitive unique to MAS.</x:v>
      </x:c>
    </x:row>
    <x:row r="33">
      <x:c r="A33" s="60" t="n">
        <x:v>63</x:v>
      </x:c>
      <x:c r="B33" s="60" t="str">
        <x:v>rosser2025agentbreeder</x:v>
      </x:c>
      <x:c r="C33" s="60" t="str">
        <x:v>AgentBreeder: Mitigating the AI Safety Risks of Multi-Agent Scaffolds via Self-Improvement</x:v>
      </x:c>
      <x:c r="D33" s="60" t="str">
        <x:v>PROMOTION</x:v>
      </x:c>
      <x:c r="E33" s="60" t="str">
        <x:v>yes</x:v>
      </x:c>
      <x:c r="F33" s="60" t="str">
        <x:v>Use the NeurIPS title and spotlight venue; merge the earlier arXiv title; recategorize from mixed defense/attack to defense/evaluation primary; do not treat the 79.4% safety uplift as attack robustness or a guarantee.</x:v>
      </x:c>
    </x:row>
    <x:row r="34">
      <x:c r="A34" s="60" t="n">
        <x:v>64</x:v>
      </x:c>
      <x:c r="B34" s="60" t="str">
        <x:v>mao2025agentsafe</x:v>
      </x:c>
      <x:c r="C34" s="60" t="str">
        <x:v>AgentSafe: Safeguarding Large Language Model-based Multi-agent Systems via Hierarchical Data Management</x:v>
      </x:c>
      <x:c r="D34" s="60" t="str">
        <x:v>PROMOTION</x:v>
      </x:c>
      <x:c r="E34" s="60" t="str">
        <x:v>yes</x:v>
      </x:c>
      <x:c r="F34" s="60" t="str">
        <x:v>Keep as defense-primary; record v2/preprint status; do not call it the first systematic memory defense without qualification; make policy-label and identity assumptions explicit; do not generalize the &gt;80% figure.</x:v>
      </x:c>
    </x:row>
    <x:row r="35">
      <x:c r="A35" s="60" t="n">
        <x:v>65</x:v>
      </x:c>
      <x:c r="B35" s="60" t="str">
        <x:v>ebrahimi2025credibility</x:v>
      </x:c>
      <x:c r="C35" s="60" t="str">
        <x:v>An Adversary-Resistant Multi-Agent LLM System via Credibility Scoring</x:v>
      </x:c>
      <x:c r="D35" s="60" t="str">
        <x:v>PROMOTION</x:v>
      </x:c>
      <x:c r="E35" s="60" t="str">
        <x:v>yes</x:v>
      </x:c>
      <x:c r="F35" s="60" t="str">
        <x:v>Make defense the primary category; encode stable identity and trusted scoring as assumptions; do not compare the adversary-majority task result to f/n Byzantine thresholds or call it a consensus guarantee.</x:v>
      </x:c>
    </x:row>
    <x:row r="36">
      <x:c r="A36" s="60" t="n">
        <x:v>66</x:v>
      </x:c>
      <x:c r="B36" s="60" t="str">
        <x:v>tailor2025auditwhisper</x:v>
      </x:c>
      <x:c r="C36" s="60" t="str">
        <x:v>Audit the Whisper: Detecting Steganographic Collusion in Multi-Agent LLMs</x:v>
      </x:c>
      <x:c r="D36" s="60" t="str">
        <x:v>PROMOTION</x:v>
      </x:c>
      <x:c r="E36" s="60" t="str">
        <x:v>yes</x:v>
      </x:c>
      <x:c r="F36" s="60" t="str">
        <x:v>Keep as defense/benchmark primary, not attack; record preprint status; code attack instances as secondary evidence; do not claim covert collusion is generally detectable or that finite-sample guarantees cover arbitrary channels.</x:v>
      </x:c>
    </x:row>
    <x:row r="37">
      <x:c r="A37" s="60" t="n">
        <x:v>67</x:v>
      </x:c>
      <x:c r="B37" s="60" t="str">
        <x:v>zou2025blocka2a</x:v>
      </x:c>
      <x:c r="C37" s="60" t="str">
        <x:v>BlockA2A: Towards Secure and Verifiable Agent-to-Agent Interoperability</x:v>
      </x:c>
      <x:c r="D37" s="60" t="str">
        <x:v>PROMOTION</x:v>
      </x:c>
      <x:c r="E37" s="60" t="str">
        <x:v>yes</x:v>
      </x:c>
      <x:c r="F37" s="60" t="str">
        <x:v>Keep defense/system primary; record v3 and preprint status; do not treat “guarantees” or Byzantine flagging as a classical consensus theorem; explicitly list ledger/oracle/endpoint adoption assumptions and avoid “first” claims without independent verification.</x:v>
      </x:c>
    </x:row>
    <x:row r="38">
      <x:c r="A38" s="60" t="n">
        <x:v>68</x:v>
      </x:c>
      <x:c r="B38" s="60" t="str">
        <x:v>jo2025byzantinerobust</x:v>
      </x:c>
      <x:c r="C38" s="60" t="str">
        <x:v>Byzantine-Robust Decentralized Coordination of LLM Agents</x:v>
      </x:c>
      <x:c r="D38" s="60" t="str">
        <x:v>PROMOTION</x:v>
      </x:c>
      <x:c r="E38" s="60" t="str">
        <x:v>yes</x:v>
      </x:c>
      <x:c r="F38" s="60" t="str">
        <x:v>Keep defense-primary; never cite f&lt;n/2 without synchrony, authentication, and correctness definition; do not compare directly with classical asynchronous f&lt;n/3 or call task accuracy an agreement guarantee; require distributed-systems signoff.</x:v>
      </x:c>
    </x:row>
    <x:row r="39">
      <x:c r="A39" s="60" t="n">
        <x:v>69</x:v>
      </x:c>
      <x:c r="B39" s="60" t="str">
        <x:v>wu2025cowpox</x:v>
      </x:c>
      <x:c r="C39" s="60" t="str">
        <x:v>Cowpox: Towards the Immunity of VLM-based Multi-Agent Systems</x:v>
      </x:c>
      <x:c r="D39" s="60" t="str">
        <x:v>PROMOTION</x:v>
      </x:c>
      <x:c r="E39" s="60" t="str">
        <x:v>yes</x:v>
      </x:c>
      <x:c r="F39" s="60" t="str">
        <x:v>Keep defense-primary and explicitly code prevention plus recovery; separate infection and recovery denominators; quote theoretical guarantees only with full model assumptions; do not generalize to arbitrary LLM-MAS or open populations.</x:v>
      </x:c>
    </x:row>
    <x:row r="40">
      <x:c r="A40" s="60" t="n">
        <x:v>71</x:v>
      </x:c>
      <x:c r="B40" s="60" t="str">
        <x:v>zhou2025guardian</x:v>
      </x:c>
      <x:c r="C40" s="60" t="str">
        <x:v>GUARDIAN: Safeguarding LLM Multi-Agent Collaborations with Temporal Graph Modeling</x:v>
      </x:c>
      <x:c r="D40" s="60" t="str">
        <x:v>PROMOTION</x:v>
      </x:c>
      <x:c r="E40" s="60" t="str">
        <x:v>yes</x:v>
      </x:c>
      <x:c r="F40" s="60" t="str">
        <x:v>Keep defense-primary; distinguish anomaly detection from task recovery; make full temporal-graph visibility and edge-control assumptions explicit; do not generalize 3–7 agent results to open ecosystems.</x:v>
      </x:c>
    </x:row>
    <x:row r="41">
      <x:c r="A41" s="60" t="n">
        <x:v>72</x:v>
      </x:c>
      <x:c r="B41" s="60" t="str">
        <x:v>mao2025ibgp</x:v>
      </x:c>
      <x:c r="C41" s="60" t="str">
        <x:v>IBGP: Imperfect Byzantine Generals Problem for Zero-Shot Robustness in Communicative Multi-Agent Systems</x:v>
      </x:c>
      <x:c r="D41" s="60" t="str">
        <x:v>PROMOTION</x:v>
      </x:c>
      <x:c r="E41" s="60" t="str">
        <x:v>yes</x:v>
      </x:c>
      <x:c r="F41" s="60" t="str">
        <x:v>Replace the incorrect seven-author list with the six official authors; label as AAMAS extended abstract; downgrade from any “super-ceiling BFT” framing; report k-of-n partial coordination and global-randomizer assumptions; never compare directly to f&lt;n/3.</x:v>
      </x:c>
    </x:row>
    <x:row r="42">
      <x:c r="A42" s="60" t="n">
        <x:v>73</x:v>
      </x:c>
      <x:c r="B42" s="60" t="str">
        <x:v>cui2025maris</x:v>
      </x:c>
      <x:c r="C42" s="60" t="str">
        <x:v>Maris: A Formally Verifiable Privacy Policy Enforcement Paradigm for Multi-Agent Collaboration Systems</x:v>
      </x:c>
      <x:c r="D42" s="60" t="str">
        <x:v>PROMOTION</x:v>
      </x:c>
      <x:c r="E42" s="60" t="str">
        <x:v>yes</x:v>
      </x:c>
      <x:c r="F42" s="60" t="str">
        <x:v>Keep defense/formal-system primary; record v5; qualify “formally verifiable” to modeled flows; make complete mediation and policy correctness explicit; do not imply universal semantic noninterference.</x:v>
      </x:c>
    </x:row>
    <x:row r="43">
      <x:c r="A43" s="60" t="n">
        <x:v>75</x:v>
      </x:c>
      <x:c r="B43" s="60" t="str">
        <x:v>rabieinejad2026alteda</x:v>
      </x:c>
      <x:c r="C43" s="60" t="str">
        <x:v>Beyond the prompt: Log-based threat detection and attribution for multi-Agent LLMs</x:v>
      </x:c>
      <x:c r="D43" s="60" t="str">
        <x:v>PROMOTION</x:v>
      </x:c>
      <x:c r="E43" s="60" t="str">
        <x:v>yes</x:v>
      </x:c>
      <x:c r="F43" s="60" t="str">
        <x:v>Replace ALTEDA as paper title with the published title; preserve ALTEDA as method name; correct the 31.4% interpretation to attack success rate; make global synchronized telemetry and log integrity assumptions explicit.</x:v>
      </x:c>
    </x:row>
    <x:row r="44">
      <x:c r="A44" s="60" t="n">
        <x:v>76</x:v>
      </x:c>
      <x:c r="B44" s="60" t="str">
        <x:v>miao2026blindguard</x:v>
      </x:c>
      <x:c r="C44" s="60" t="str">
        <x:v>BlindGuard: Safeguarding LLM-based Multi-Agent Systems under Unknown Attacks</x:v>
      </x:c>
      <x:c r="D44" s="60" t="str">
        <x:v>PROMOTION</x:v>
      </x:c>
      <x:c r="E44" s="60" t="str">
        <x:v>yes</x:v>
      </x:c>
      <x:c r="F44" s="60" t="str">
        <x:v>Keep defense-primary; preserve ASR@3 and AUC denominators separately; label pruning as containment; do not call unknown-attack performance a guarantee; record global graph visibility and isolation authority.</x:v>
      </x:c>
    </x:row>
    <x:row r="45">
      <x:c r="A45" s="60" t="n">
        <x:v>77</x:v>
      </x:c>
      <x:c r="B45" s="60" t="str">
        <x:v>pan2026xgguard</x:v>
      </x:c>
      <x:c r="C45" s="60" t="str">
        <x:v>Explainable and Fine-Grained Safeguarding of LLM Multi-Agent Systems via Bi-Level Graph Anomaly Detection</x:v>
      </x:c>
      <x:c r="D45" s="60" t="str">
        <x:v>PROMOTION</x:v>
      </x:c>
      <x:c r="E45" s="60" t="str">
        <x:v>yes</x:v>
      </x:c>
      <x:c r="F45" s="60" t="str">
        <x:v>Keep defense-primary; separate response/agent detection from system ASR; make graph-wide visibility and node-removal authority explicit; call robustness empirical, not guaranteed.</x:v>
      </x:c>
    </x:row>
    <x:row r="46">
      <x:c r="A46" s="60" t="n">
        <x:v>78</x:v>
      </x:c>
      <x:c r="B46" s="60" t="str">
        <x:v>tapwal2026prism</x:v>
      </x:c>
      <x:c r="C46" s="60" t="str">
        <x:v>PRISM: Generation-Time Detection and Mitigation of Secret Leakage in Multi-Agent LLM Pipelines</x:v>
      </x:c>
      <x:c r="D46" s="60" t="str">
        <x:v>PROMOTION</x:v>
      </x:c>
      <x:c r="E46" s="60" t="str">
        <x:v>yes</x:v>
      </x:c>
      <x:c r="F46" s="60" t="str">
        <x:v>Keep defense/benchmark primary; replace vague “2,000 examples” with 2,000 tasks, 13 categories, three pressure levels, and four agents; preserve task-level denominator; do not convert 0.0% observed leakage into a guarantee.</x:v>
      </x:c>
    </x:row>
    <x:row r="47">
      <x:c r="A47" s="60" t="n">
        <x:v>79</x:v>
      </x:c>
      <x:c r="B47" s="60" t="str">
        <x:v>darabi2026bioautonomic</x:v>
      </x:c>
      <x:c r="C47" s="60" t="str">
        <x:v>Resilience in Ambient Multi-Agent LLMs via Decentralized Bio-Autonomic Control and Immune-Inspired Anomaly Detection</x:v>
      </x:c>
      <x:c r="D47" s="60" t="str">
        <x:v>PROMOTION</x:v>
      </x:c>
      <x:c r="E47" s="60" t="str">
        <x:v>yes: useful for decentralized-observer and recovery coverage findings</x:v>
      </x:c>
      <x:c r="F47" s="60" t="str">
        <x:v>Use Amit Ranjan Trivedi in canonical author field. Keep defense primary. Downgrade scope from blanket core_security to security_relevant unless individual attack claims are separated. Do not present resilience recovery as a security guarantee.</x:v>
      </x:c>
    </x:row>
    <x:row r="48">
      <x:c r="A48" s="60" t="n">
        <x:v>80</x:v>
      </x:c>
      <x:c r="B48" s="60" t="str">
        <x:v>zhou2026resmas</x:v>
      </x:c>
      <x:c r="C48" s="60" t="str">
        <x:v>ResMAS: Resilience Optimization in LLM-based Multi-agent Systems</x:v>
      </x:c>
      <x:c r="D48" s="60" t="str">
        <x:v>PROMOTION</x:v>
      </x:c>
      <x:c r="E48" s="60" t="str">
        <x:v>yes: direct evidence for secure-by-design/topology optimization and security-reliability boundary</x:v>
      </x:c>
      <x:c r="F48" s="60" t="str">
        <x:v>Do not code this as attack. Label design-time defense/resilience. Do not call random-failure robustness a security guarantee. Preserve exact perturbation model and resilience definition.</x:v>
      </x:c>
    </x:row>
    <x:row r="49">
      <x:c r="A49" s="60" t="n">
        <x:v>81</x:v>
      </x:c>
      <x:c r="B49" s="60" t="str">
        <x:v>shi2026saiguard</x:v>
      </x:c>
      <x:c r="C49" s="60" t="str">
        <x:v>SAIGuard: Communication-State Simulation for Proactive Defense of LLM Multi-Agent Systems</x:v>
      </x:c>
      <x:c r="D49" s="60" t="str">
        <x:v>PROMOTION</x:v>
      </x:c>
      <x:c r="E49" s="60" t="str">
        <x:v>yes: strong observer-scope and proactive-prevention case</x:v>
      </x:c>
      <x:c r="F49" s="60" t="str">
        <x:v>Keep preprint label. Separate proactive interception from formal prevention guarantee. Record 80 agents only as scalability setting, not general evaluation size.</x:v>
      </x:c>
    </x:row>
    <x:row r="50">
      <x:c r="A50" s="60" t="n">
        <x:v>82</x:v>
      </x:c>
      <x:c r="B50" s="60" t="str">
        <x:v>feng2026sentinelnet</x:v>
      </x:c>
      <x:c r="C50" s="60" t="str">
        <x:v>SentinelNet: Safeguarding Multi-Agent Collaboration Through Credit-Based Dynamic Threat Detection</x:v>
      </x:c>
      <x:c r="D50" s="60" t="str">
        <x:v>PROMOTION</x:v>
      </x:c>
      <x:c r="E50" s="60" t="str">
        <x:v>yes: decentralized local-observer counterexample to global-monitor dominance</x:v>
      </x:c>
      <x:c r="F50" s="60" t="str">
        <x:v>Use published WWW metadata. Qualify headline detection/recovery numbers as selected benchmark results. Code detection and containment separately.</x:v>
      </x:c>
    </x:row>
    <x:row r="51">
      <x:c r="A51" s="60" t="n">
        <x:v>83</x:v>
      </x:c>
      <x:c r="B51" s="60" t="str">
        <x:v>huang2026toposhield</x:v>
      </x:c>
      <x:c r="C51" s="60" t="str">
        <x:v>TopoSHIELD: Reshaping the Flow of Malice via Spatio-Temporal Risk-Aware Topological Evolution in Multi-Agent Systems</x:v>
      </x:c>
      <x:c r="D51" s="60" t="str">
        <x:v>PROMOTION</x:v>
      </x:c>
      <x:c r="E51" s="60" t="str">
        <x:v>yes: central evidence for topology defense and containment</x:v>
      </x:c>
      <x:c r="F51" s="60" t="str">
        <x:v>Do not generalize the 58% result. Code functions as detection plus containment, not prevention of initial compromise. Record global observer and intervention assumptions.</x:v>
      </x:c>
    </x:row>
    <x:row r="52">
      <x:c r="A52" s="60" t="n">
        <x:v>84</x:v>
      </x:c>
      <x:c r="B52" s="60" t="str">
        <x:v>juneja2025magpie</x:v>
      </x:c>
      <x:c r="C52" s="60" t="str">
        <x:v>MAGPIE: A benchmark for Multi-AGent contextual PrIvacy Evaluation</x:v>
      </x:c>
      <x:c r="D52" s="60" t="str">
        <x:v>PROMOTION</x:v>
      </x:c>
      <x:c r="E52" s="60" t="str">
        <x:v>yes: directly supports metric-denominator and contextual-authorization synthesis</x:v>
      </x:c>
      <x:c r="F52" s="60" t="str">
        <x:v>Canonicalize to the five-author 200-task workshop version. Do not mix 158-scenario, GPT-4o/Claude numbers from arXiv 2506.20737 with GPT-5/Gemini numbers from 2510.15186.</x:v>
      </x:c>
    </x:row>
    <x:row r="53">
      <x:c r="A53" s="60" t="n">
        <x:v>85</x:v>
      </x:c>
      <x:c r="B53" s="60" t="str">
        <x:v>chen2025medsentry</x:v>
      </x:c>
      <x:c r="C53" s="60" t="str">
        <x:v>MedSentry: Understanding and Mitigating Safety Risks in Medical LLM Multi-Agent Systems</x:v>
      </x:c>
      <x:c r="D53" s="60" t="str">
        <x:v>PROMOTION</x:v>
      </x:c>
      <x:c r="E53" s="60" t="str">
        <x:v>yes: architecture/topology coverage and safety-security boundary</x:v>
      </x:c>
      <x:c r="F53" s="60" t="str">
        <x:v>Keep arXiv-only status and do not imply ICLR acceptance. Code primary role as benchmark/evaluation, not attack. Preserve five-agent and medical-domain scope for topology conclusions.</x:v>
      </x:c>
    </x:row>
    <x:row r="54">
      <x:c r="A54" s="60" t="n">
        <x:v>86</x:v>
      </x:c>
      <x:c r="B54" s="60" t="str">
        <x:v>an2026aciarena</x:v>
      </x:c>
      <x:c r="C54" s="60" t="str">
        <x:v>ACIARena: Toward Unified Evaluation for Agent Cascading Injection</x:v>
      </x:c>
      <x:c r="D54" s="60" t="str">
        <x:v>PROMOTION</x:v>
      </x:c>
      <x:c r="E54" s="60" t="str">
        <x:v>yes: central benchmark/evaluation-contract evidence</x:v>
      </x:c>
      <x:c r="F54" s="60" t="str">
        <x:v>Primary category should be benchmark/evaluation, not attack. Split claims by objective. Record per-system agent count/topology. Do not compare ASR, DSR, and PSR as one quantity.</x:v>
      </x:c>
    </x:row>
    <x:row r="55">
      <x:c r="A55" s="60" t="n">
        <x:v>87</x:v>
      </x:c>
      <x:c r="B55" s="60" t="str">
        <x:v>elyagoubi2026agentleak</x:v>
      </x:c>
      <x:c r="C55" s="60" t="str">
        <x:v>AgentLeak: A Benchmark for Internal-Channel Privacy Leakage in Multi-Agent LLM Systems</x:v>
      </x:c>
      <x:c r="D55" s="60" t="str">
        <x:v>PROMOTION</x:v>
      </x:c>
      <x:c r="E55" s="60" t="str">
        <x:v>yes: headline observability and metric-denominator evidence</x:v>
      </x:c>
      <x:c r="F55" s="60" t="str">
        <x:v>Use final title and author order. Distinguish 41.7 percentage-point hidden-leakage event from “41.7% of all violations” unless denominator wording is exact. Keep channel rates, union exposure, and attack-family ASR separate.</x:v>
      </x:c>
    </x:row>
    <x:row r="56">
      <x:c r="A56" s="60" t="n">
        <x:v>88</x:v>
      </x:c>
      <x:c r="B56" s="60" t="str">
        <x:v>nother2026badacts</x:v>
      </x:c>
      <x:c r="C56" s="60" t="str">
        <x:v>Benchmarking the Robustness of Agentic Systems to Adversarially-Induced Harmful Behaviors</x:v>
      </x:c>
      <x:c r="D56" s="60" t="str">
        <x:v>PROMOTION</x:v>
      </x:c>
      <x:c r="E56" s="60" t="str">
        <x:v>yes: action-level impact and benchmark denominator evidence</x:v>
      </x:c>
      <x:c r="F56" s="60" t="str">
        <x:v>Use accepted title and 937-action/five-environment counts only. Primary category benchmark/evaluation. Do not mix earlier-version counts or treat all environments as identical MAS configurations.</x:v>
      </x:c>
    </x:row>
    <x:row r="57">
      <x:c r="A57" s="60" t="n">
        <x:v>89</x:v>
      </x:c>
      <x:c r="B57" s="60" t="str">
        <x:v>zhao2026macbench</x:v>
      </x:c>
      <x:c r="C57" s="60" t="str">
        <x:v>Beyond Goodhart's Law: A Dynamic Benchmark for Evaluating Compliance in Multi-Agent Systems</x:v>
      </x:c>
      <x:c r="D57" s="60" t="str">
        <x:v>PROMOTION</x:v>
      </x:c>
      <x:c r="E57" s="60" t="str">
        <x:v>yes: global-trace and task-success-versus-process-integrity finding</x:v>
      </x:c>
      <x:c r="F57" s="60" t="str">
        <x:v>Do not code whole paper as core MAS security. Separate security rules from general compliance. Record MG/CSR formulas and denominators precisely. Avoid “strategic” intent claims beyond observed behavior.</x:v>
      </x:c>
    </x:row>
    <x:row r="58">
      <x:c r="A58" s="60" t="n">
        <x:v>90</x:v>
      </x:c>
      <x:c r="B58" s="60" t="str">
        <x:v>zou2026calbench</x:v>
      </x:c>
      <x:c r="C58" s="60" t="str">
        <x:v>CalBench: Evaluating Coordination-Privacy Trade-offs in Multi-Agent LLMs</x:v>
      </x:c>
      <x:c r="D58" s="60" t="str">
        <x:v>PROMOTION</x:v>
      </x:c>
      <x:c r="E58" s="60" t="str">
        <x:v>yes: unusually strong metric/denominator and matched-information-contract example</x:v>
      </x:c>
      <x:c r="F58" s="60" t="str">
        <x:v>Resolve four-author arXiv metadata versus five-author PDF title-block conflict. Replace vague N/M notation with canonical N=5, M=5 in main suite. Do not call Table 1 N=135/45 “number of agents”; it is evaluated seats.</x:v>
      </x:c>
    </x:row>
    <x:row r="59">
      <x:c r="A59" s="60" t="n">
        <x:v>91</x:v>
      </x:c>
      <x:c r="B59" s="60" t="str">
        <x:v>nakamura2026colosseum</x:v>
      </x:c>
      <x:c r="C59" s="60" t="str">
        <x:v>Colosseum: Auditing Collusion in Cooperative Multi-Agent Systems</x:v>
      </x:c>
      <x:c r="D59" s="60" t="str">
        <x:v>PROMOTION</x:v>
      </x:c>
      <x:c r="E59" s="60" t="str">
        <x:v>yes: collusion metric and observer-scope headline evidence</x:v>
      </x:c>
      <x:c r="F59" s="60" t="str">
        <x:v>Primary category benchmark/evaluation. Do not claim most models spontaneously collude without the secret-channel and objective conditions. Separate textual intent from action-level regret.</x:v>
      </x:c>
    </x:row>
    <x:row r="60">
      <x:c r="A60" s="60" t="n">
        <x:v>93</x:v>
      </x:c>
      <x:c r="B60" s="60" t="str">
        <x:v>arora2026safeagents</x:v>
      </x:c>
      <x:c r="C60" s="60" t="str">
        <x:v>Exposing Weak Links in Multi-Agent Systems under Adversarial Prompting</x:v>
      </x:c>
      <x:c r="D60" s="60" t="str">
        <x:v>PROMOTION</x:v>
      </x:c>
      <x:c r="E60" s="60" t="str">
        <x:v>yes: architecture/observer-stage synthesis</x:v>
      </x:c>
      <x:c r="F60" s="60" t="str">
        <x:v>Primary category benchmark/evaluation. Do not call DHARMA a single metric without explaining categories. Distinguish architecture count from agent count. Label workshop status.</x:v>
      </x:c>
    </x:row>
    <x:row r="61">
      <x:c r="A61" s="60" t="n">
        <x:v>94</x:v>
      </x:c>
      <x:c r="B61" s="60" t="str">
        <x:v>lemercier2026gambit</x:v>
      </x:c>
      <x:c r="C61" s="60" t="str">
        <x:v>GAMBIT: A Three-Mode Benchmark for Adversarial Robustness in Multi-Agent LLM Collectives</x:v>
      </x:c>
      <x:c r="D61" s="60" t="str">
        <x:v>PROMOTION</x:v>
      </x:c>
      <x:c r="E61" s="60" t="str">
        <x:v>yes: strongest evidence for adaptive adversary and recalibration assumptions</x:v>
      </x:c>
      <x:c r="F61" s="60" t="str">
        <x:v>Primary category should be benchmark rather than attack. Do not treat zero-shot F1, recalibration score, and collective task degradation as one metric. Verify exact collective size and table locators before manuscript use.</x:v>
      </x:c>
    </x:row>
    <x:row r="62">
      <x:c r="A62" s="60" t="n">
        <x:v>95</x:v>
      </x:c>
      <x:c r="B62" s="60" t="str">
        <x:v>mateotorrejon2026gammaf</x:v>
      </x:c>
      <x:c r="C62" s="60" t="str">
        <x:v>GAMMAF: A Common Framework for Graph-Based Anomaly Monitoring Benchmarking in LLM Multi-Agent Systems</x:v>
      </x:c>
      <x:c r="D62" s="60" t="str">
        <x:v>PROMOTION</x:v>
      </x:c>
      <x:c r="E62" s="60" t="str">
        <x:v>yes: common-contract evidence for graph-defense comparability</x:v>
      </x:c>
      <x:c r="F62" s="60" t="str">
        <x:v>Primary category must be benchmark/evaluation, not defense. Separate detection quality from recovered task utility and token cost. Record exact graph sizes and denominators before quantitative synthesis.</x:v>
      </x:c>
    </x:row>
    <x:row r="63">
      <x:c r="A63" s="60" t="n">
        <x:v>96</x:v>
      </x:c>
      <x:c r="B63" s="60" t="str">
        <x:v>rahman2026harp</x:v>
      </x:c>
      <x:c r="C63" s="60" t="str">
        <x:v>HARP: Measuring Harm Amplification in Multi-Agent LLM Systems</x:v>
      </x:c>
      <x:c r="D63" s="60" t="str">
        <x:v>PROMOTION</x:v>
      </x:c>
      <x:c r="E63" s="60" t="str">
        <x:v>yes: headline metric-contract and local-to-global amplification evidence</x:v>
      </x:c>
      <x:c r="F63" s="60" t="str">
        <x:v>Primary category benchmark/evaluation. Keep ASR, malicious impact, global harm, and amplification separate. Do not compare HARP's ratio with population infection metrics. State seven specialists precisely rather than generic 'seven-agent workflow' if router/gate counting matters.</x:v>
      </x:c>
    </x:row>
    <x:row r="64">
      <x:c r="A64" s="60" t="n">
        <x:v>98</x:v>
      </x:c>
      <x:c r="B64" s="60" t="str">
        <x:v>jia2026masfire</x:v>
      </x:c>
      <x:c r="C64" s="60" t="str">
        <x:v>MAS-FIRE: Fault Injection and Reliability Evaluation for LLM-Based Multi-Agent Systems</x:v>
      </x:c>
      <x:c r="D64" s="60" t="str">
        <x:v>PROMOTION</x:v>
      </x:c>
      <x:c r="E64" s="60" t="str">
        <x:v>yes: boundary and recovery-measurement evidence, but mark adjacent</x:v>
      </x:c>
      <x:c r="F64" s="60" t="str">
        <x:v>Change scope from security attack to adjacent reliability benchmark. Do not label all fault injection as malicious. Separate propagation, masking, and recovery metrics from final task success.</x:v>
      </x:c>
    </x:row>
    <x:row r="65">
      <x:c r="A65" s="60" t="n">
        <x:v>100</x:v>
      </x:c>
      <x:c r="B65" s="60" t="str">
        <x:v>dong2026pear</x:v>
      </x:c>
      <x:c r="C65" s="60" t="str">
        <x:v>PEAR: Planner-Executor Agent Robustness Benchmark</x:v>
      </x:c>
      <x:c r="D65" s="60" t="str">
        <x:v>PROMOTION</x:v>
      </x:c>
      <x:c r="E65" s="60" t="str">
        <x:v>yes: clean architecture/attack-position evidence</x:v>
      </x:c>
      <x:c r="F65" s="60" t="str">
        <x:v>Primary category benchmark/evaluation. State one planner plus one executor. Do not call role position a graph topology result. Keep withdrawn arXiv out of canonical counts.</x:v>
      </x:c>
    </x:row>
    <x:row r="66">
      <x:c r="A66" s="60" t="n">
        <x:v>101</x:v>
      </x:c>
      <x:c r="B66" s="60" t="str">
        <x:v>jiang2026risklab</x:v>
      </x:c>
      <x:c r="C66" s="60" t="str">
        <x:v>RiskLab: A Controlled Toolkit for Probing Emergent Risks in LLM-Based Multi-Agent Systems</x:v>
      </x:c>
      <x:c r="D66" s="60" t="str">
        <x:v>PROMOTION</x:v>
      </x:c>
      <x:c r="E66" s="60" t="str">
        <x:v>yes: architecture-variable and trajectory-observation framework</x:v>
      </x:c>
      <x:c r="F66" s="60" t="str">
        <x:v>Primary category system demonstration/evaluation, not attack. Do not aggregate four probe families into one risk metric. Keep security-relevant scope rather than blanket core security.</x:v>
      </x:c>
    </x:row>
    <x:row r="67">
      <x:c r="A67" s="60" t="n">
        <x:v>102</x:v>
      </x:c>
      <x:c r="B67" s="60" t="str">
        <x:v>kavathekar2026tamas</x:v>
      </x:c>
      <x:c r="C67" s="60" t="str">
        <x:v>TAMAS: Benchmarking Adversarial Risks in Multi-Agent LLM Systems</x:v>
      </x:c>
      <x:c r="D67" s="60" t="str">
        <x:v>PROMOTION</x:v>
      </x:c>
      <x:c r="E67" s="60" t="str">
        <x:v>yes: broad benchmark and metric-contract anchor</x:v>
      </x:c>
      <x:c r="F67" s="60" t="str">
        <x:v>Primary category benchmark/evaluation. Change scope to core security. Preserve separate ASR, TSR, and ERS definitions. Do not infer population propagation from task-level ASR.</x:v>
      </x:c>
    </x:row>
    <x:row r="68">
      <x:c r="A68" s="60" t="n">
        <x:v>103</x:v>
      </x:c>
      <x:c r="B68" s="60" t="str">
        <x:v>liu2026valueflow</x:v>
      </x:c>
      <x:c r="C68" s="60" t="str">
        <x:v>ValueFlow: Measuring the Propagation of Value Perturbations in Multi-Agent LLM Systems</x:v>
      </x:c>
      <x:c r="D68" s="60" t="str">
        <x:v>PROMOTION</x:v>
      </x:c>
      <x:c r="E68" s="60" t="str">
        <x:v>yes: local-versus-global measurement example, with maturity caveat</x:v>
      </x:c>
      <x:c r="F68" s="60" t="str">
        <x:v>Primary category evaluation/benchmark, not attack. Keep agent susceptibility and system susceptibility separate. Scope should remain security-relevant rather than core attack evidence.</x:v>
      </x:c>
    </x:row>
    <x:row r="69">
      <x:c r="A69" s="60" t="n">
        <x:v>104</x:v>
      </x:c>
      <x:c r="B69" s="60" t="str">
        <x:v>allegrini2025formalizing</x:v>
      </x:c>
      <x:c r="C69" s="60" t="str">
        <x:v>Formalizing the Safety, Security, and Functional Properties of Agentic AI Systems</x:v>
      </x:c>
      <x:c r="D69" s="60" t="str">
        <x:v>PROMOTION</x:v>
      </x:c>
      <x:c r="E69" s="60" t="str">
        <x:v>yes: system-model and global-property vocabulary anchor, not empirical evidence</x:v>
      </x:c>
      <x:c r="F69" s="60" t="str">
        <x:v>Change primary category from generic general/core-security to theoretical framework with security-relevant scope. Record 31 formal properties precisely. Do not treat formal expressiveness as empirical attack or defense coverage.</x:v>
      </x:c>
    </x:row>
    <x:row r="70">
      <x:c r="A70" s="60" t="n">
        <x:v>107</x:v>
      </x:c>
      <x:c r="B70" s="60" t="str">
        <x:v>anbiaee2026protocols</x:v>
      </x:c>
      <x:c r="C70" s="60" t="str">
        <x:v>Security Threat Modeling for Emerging AI-Agent Protocols: A Comparative Analysis of MCP, A2A, Agora, and ANP</x:v>
      </x:c>
      <x:c r="D70" s="60" t="str">
        <x:v>PROMOTION</x:v>
      </x:c>
      <x:c r="E70" s="60" t="str">
        <x:v>yes: protocol-surface and assumption model anchor</x:v>
      </x:c>
      <x:c r="F70" s="60" t="str">
        <x:v>Primary category is threat modeling/comparative study, not attack. Downgrade blanket core-MAS scope to security-relevant mixed scope. Add the measurement-driven MCP case study omitted from the current note.</x:v>
      </x:c>
    </x:row>
    <x:row r="71">
      <x:c r="A71" s="60" t="n">
        <x:v>108</x:v>
      </x:c>
      <x:c r="B71" s="60" t="str">
        <x:v>yu2025trustworthyagents</x:v>
      </x:c>
      <x:c r="C71" s="60" t="str">
        <x:v>A Survey on Trustworthy LLM Agents: Threats and Countermeasures</x:v>
      </x:c>
      <x:c r="D71" s="60" t="str">
        <x:v>PROMOTION</x:v>
      </x:c>
      <x:c r="E71" s="60" t="str">
        <x:v>yes: closest broad trustworthy-agent survey comparator</x:v>
      </x:c>
      <x:c r="F71" s="60" t="str">
        <x:v>Correct author spelling from Linsey Pan to Linsey Pang. Keep survey as related work, not primary attack evidence. Do not count all cited papers as MAS security corpus.</x:v>
      </x:c>
    </x:row>
    <x:row r="72">
      <x:c r="A72" s="60" t="n">
        <x:v>109</x:v>
      </x:c>
      <x:c r="B72" s="60" t="str">
        <x:v>deng2025agentsunderthreat</x:v>
      </x:c>
      <x:c r="C72" s="60" t="str">
        <x:v>AI Agents Under Threat: A Survey of Key Security Challenges and Future Pathways</x:v>
      </x:c>
      <x:c r="D72" s="60" t="str">
        <x:v>PROMOTION</x:v>
      </x:c>
      <x:c r="E72" s="60" t="str">
        <x:v>yes: single/general-agent survey comparator for gap positioning</x:v>
      </x:c>
      <x:c r="F72" s="60" t="str">
        <x:v>Keep as general agent-security survey. Do not describe it as MAS-primary or use it as sole evidence for an attack. Add volume/issue/article metadata.</x:v>
      </x:c>
    </x:row>
    <x:row r="73">
      <x:c r="A73" s="60" t="n">
        <x:v>110</x:v>
      </x:c>
      <x:c r="B73" s="60" t="str">
        <x:v>schroederdewitt2025openchallenges</x:v>
      </x:c>
      <x:c r="C73" s="60" t="str">
        <x:v>Open Challenges in Multi-Agent Security: Towards Secure Systems of Interacting AI Agents</x:v>
      </x:c>
      <x:c r="D73" s="60" t="str">
        <x:v>PROMOTION</x:v>
      </x:c>
      <x:c r="E73" s="60" t="str">
        <x:v>yes: closest multi-agent security framing and non-compositionality comparator</x:v>
      </x:c>
      <x:c r="F73" s="60" t="str">
        <x:v>Replace 'Christian Schroeder de Witt et al.' in canonical metadata with the full 24-author list. Upgrade scope to core multi-agent security. Explicitly label as anticipatory agenda, not empirical prevalence evidence.</x:v>
      </x:c>
    </x:row>
    <x:row r="74">
      <x:c r="A74" s="60" t="n">
        <x:v>111</x:v>
      </x:c>
      <x:c r="B74" s="60" t="str">
        <x:v>he2025emergedsecurity</x:v>
      </x:c>
      <x:c r="C74" s="60" t="str">
        <x:v>The Emerged Security and Privacy of LLM Agent: A Survey with Case Studies</x:v>
      </x:c>
      <x:c r="D74" s="60" t="str">
        <x:v>PROMOTION</x:v>
      </x:c>
      <x:c r="E74" s="60" t="str">
        <x:v>yes: broad agent-security survey comparator</x:v>
      </x:c>
      <x:c r="F74" s="60" t="str">
        <x:v>Add final volume/issue/article metadata. Keep MAS as partial. Do not use survey case studies as primary evidence for attack efficacy or prevalence.</x:v>
      </x:c>
    </x:row>
    <x:row r="75">
      <x:c r="A75" s="60" t="n">
        <x:v>112</x:v>
      </x:c>
      <x:c r="B75" s="60" t="str">
        <x:v>ko2026sevenchallenges</x:v>
      </x:c>
      <x:c r="C75" s="60" t="str">
        <x:v>Seven Security Challenges in Cross-Domain Multi-Agent LLM Systems</x:v>
      </x:c>
      <x:c r="D75" s="60" t="str">
        <x:v>PROMOTION</x:v>
      </x:c>
      <x:c r="E75" s="60" t="str">
        <x:v>yes: closest peer-reviewed MAS-specific related-work comparator</x:v>
      </x:c>
      <x:c r="F75" s="60" t="str">
        <x:v>Upgrade scope from merely security-relevant to core MAS security. Label Perspective and unedited early-access status. Do not count plausible attacks as empirical evidence.</x:v>
      </x:c>
    </x:row>
    <x:row r="76">
      <x:c r="A76" s="60" t="n">
        <x:v>113</x:v>
      </x:c>
      <x:c r="B76" s="60" t="str">
        <x:v>kim2026agenticai</x:v>
      </x:c>
      <x:c r="C76" s="60" t="str">
        <x:v>SoK: Attack and Defense Landscape of Agentic AI Systems</x:v>
      </x:c>
      <x:c r="D76" s="60" t="str">
        <x:v>PROMOTION</x:v>
      </x:c>
      <x:c r="E76" s="60" t="str">
        <x:v>yes: primary comparator for novelty and paper structure</x:v>
      </x:c>
      <x:c r="F76" s="60" t="str">
        <x:v>Do not describe Kim as simply single-agent; it includes MAS partially. Position the gap as different unit of analysis, not absence. Keep exact USENIX status and avoid invented MAS percentage unless measured.</x:v>
      </x:c>
    </x:row>
    <x:row r="77">
      <x:c r="A77" s="60" t="n">
        <x:v>114</x:v>
      </x:c>
      <x:c r="B77" s="60" t="str">
        <x:v>raza2026trism</x:v>
      </x:c>
      <x:c r="C77" s="60" t="str">
        <x:v>TRiSM for Agentic AI: A Review of Trust, Risk, and Security Management in LLM-based Agentic Multi-Agent Systems</x:v>
      </x:c>
      <x:c r="D77" s="60" t="str">
        <x:v>PROMOTION</x:v>
      </x:c>
      <x:c r="E77" s="60" t="str">
        <x:v>yes: governance/MAS review comparator in related-work table</x:v>
      </x:c>
      <x:c r="F77" s="60" t="str">
        <x:v>Use final AI Open metadata and merge arXiv. Keep security-relevant rather than pure technical security. Do not treat CSS/TUE as standardized empirical security metrics.</x:v>
      </x:c>
    </x:row>
  </x:sheetData>
  <x:conditionalFormatting sqref="D2:D77">
    <x:cfRule type="expression" dxfId="5" priority="1">
      <x:formula>D2="BLOCKER"</x:formula>
    </x:cfRule>
    <x:cfRule type="expression" dxfId="6" priority="2">
      <x:formula>D2="PROMOTION"</x:formula>
    </x:cfRule>
  </x:conditionalFormatting>
  <x:pageMargins left="0.7" right="0.7" top="0.75" bottom="0.75" header="0.3" footer="0.3"/>
  <x:tableParts count="1">
    <x:tablePart xmlns:r="http://schemas.openxmlformats.org/officeDocument/2006/relationships" r:id="R6031617f99404a65"/>
  </x:tableParts>
</x:worksheet>
</file>