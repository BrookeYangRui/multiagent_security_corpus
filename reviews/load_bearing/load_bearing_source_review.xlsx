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6b4de5020b4274" /></Relationships>
</file>

<file path=xl/workbook.xml><?xml version="1.0" encoding="utf-8"?>
<x:workbook xmlns:x="http://schemas.openxmlformats.org/spreadsheetml/2006/main">
  <x:sheets>
    <x:sheet xmlns:r="http://schemas.openxmlformats.org/officeDocument/2006/relationships" name="Summary" sheetId="1" r:id="R5569e2d53c0d4b39"/>
    <x:sheet xmlns:r="http://schemas.openxmlformats.org/officeDocument/2006/relationships" name="Identity_Scope" sheetId="2" r:id="Rfde03fc0efda4931"/>
    <x:sheet xmlns:r="http://schemas.openxmlformats.org/officeDocument/2006/relationships" name="Attack_Coding" sheetId="3" r:id="R2a3f6a812bcf4d07"/>
    <x:sheet xmlns:r="http://schemas.openxmlformats.org/officeDocument/2006/relationships" name="Evaluation_Evidence" sheetId="4" r:id="R47da69be2493463b"/>
    <x:sheet xmlns:r="http://schemas.openxmlformats.org/officeDocument/2006/relationships" name="Corrections" sheetId="5" r:id="R60d84b019d124d8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1"/>
      <x:color rgb="FF1F2937"/>
      <x:name val="Carlito"/>
    </x:font>
    <x:font>
      <x:b/>
      <x:sz val="11"/>
      <x:color rgb="FFFFFFFF"/>
      <x:name val="Carlito"/>
    </x:font>
    <x:font>
      <x:b/>
      <x:sz val="11"/>
      <x:name val="Carlito"/>
    </x:font>
    <x:font>
      <x:b/>
      <x:sz val="18"/>
      <x:color rgb="FFFFFFFF"/>
      <x:name val="Aptos"/>
    </x:font>
    <x:font>
      <x:i/>
      <x:sz val="11"/>
      <x:color rgb="FF1F2937"/>
      <x:name val="Aptos"/>
    </x:font>
    <x:font>
      <x:sz val="11"/>
      <x:name val="Aptos"/>
    </x:font>
    <x:font>
      <x:b/>
      <x:sz val="11"/>
      <x:color rgb="FFFFFFFF"/>
      <x:name val="Aptos"/>
    </x:font>
    <x:font>
      <x:b/>
      <x:sz val="11"/>
      <x:name val="Aptos"/>
    </x:font>
  </x:fonts>
  <x:fills count="6">
    <x:fill>
      <x:patternFill patternType="none"/>
    </x:fill>
    <x:fill>
      <x:patternFill patternType="gray125"/>
    </x:fill>
    <x:fill>
      <x:patternFill patternType="solid">
        <x:fgColor rgb="FF16324F"/>
      </x:patternFill>
    </x:fill>
    <x:fill>
      <x:patternFill patternType="solid">
        <x:fgColor rgb="FFDCEAF5"/>
      </x:patternFill>
    </x:fill>
    <x:fill>
      <x:patternFill patternType="solid">
        <x:fgColor rgb="FF244F73"/>
      </x:patternFill>
    </x:fill>
    <x:fill>
      <x:patternFill patternType="solid">
        <x:fgColor rgb="FFEEF2F5"/>
      </x:patternFill>
    </x:fill>
  </x:fills>
  <x:borders count="2">
    <x:border/>
    <x:border/>
  </x:borders>
  <x:cellStyleXfs count="1">
    <x:xf numFmtId="0" fontId="0" fillId="0" borderId="0"/>
  </x:cellStyleXfs>
  <x:cellXfs count="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3" fillId="4" borderId="0" xfId="0" applyNumberFormat="1" applyFont="1" applyFill="1" applyBorder="1" applyAlignment="1">
      <x:alignment horizontal="left"/>
    </x:xf>
    <x:xf numFmtId="0" fontId="3" fillId="4" borderId="1" xfId="0" applyNumberFormat="1" applyFont="1" applyFill="1" applyBorder="1" applyAlignment="1">
      <x:alignment horizontal="lef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4" fillId="0" borderId="1"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x:xf>
    <x:xf numFmtId="0" fontId="6" fillId="3" borderId="0" xfId="0" applyNumberFormat="1" applyFont="1" applyFill="1" applyBorder="1" applyAlignment="1">
      <x:alignment horizontal="center" vertical="center" wrapText="1"/>
    </x:xf>
    <x:xf numFmtId="0" fontId="7" fillId="0" borderId="0" xfId="0" applyNumberFormat="1" applyFont="1" applyFill="1" applyBorder="1"/>
    <x:xf numFmtId="0" fontId="8" fillId="4" borderId="0" xfId="0" applyNumberFormat="1" applyFont="1" applyFill="1" applyBorder="1"/>
    <x:xf numFmtId="0" fontId="7" fillId="5" borderId="0" xfId="0" applyNumberFormat="1" applyFont="1" applyFill="1" applyBorder="1"/>
    <x:xf numFmtId="0" fontId="8" fillId="4" borderId="0" xfId="0" applyNumberFormat="1" applyFont="1" applyFill="1" applyBorder="1" applyAlignment="1">
      <x:alignment horizontal="left"/>
    </x:xf>
    <x:xf numFmtId="0" fontId="9" fillId="0" borderId="0" xfId="0" applyNumberFormat="1" applyFont="1" applyFill="1" applyBorder="1" applyAlignment="1">
      <x:alignment horizontal="center" vertical="top" wrapText="1"/>
    </x:xf>
    <x:xf numFmtId="0" fontId="7" fillId="0" borderId="0" xfId="0" applyNumberFormat="1" applyFont="1" applyFill="1" applyBorder="1" applyAlignment="1">
      <x:alignment wrapText="1"/>
    </x:xf>
    <x:xf numFmtId="0" fontId="5" fillId="2" borderId="1" xfId="0" applyNumberFormat="1" applyFont="1" applyFill="1" applyBorder="1" applyAlignment="1">
      <x:alignment horizontal="center" vertical="center"/>
    </x:xf>
    <x:xf numFmtId="0" fontId="6" fillId="3" borderId="1" xfId="0" applyNumberFormat="1" applyFont="1" applyFill="1" applyBorder="1" applyAlignment="1">
      <x:alignment horizontal="center" vertical="center" wrapText="1"/>
    </x:xf>
    <x:xf numFmtId="0" fontId="7" fillId="0" borderId="1" xfId="0" applyNumberFormat="1" applyFont="1" applyFill="1" applyBorder="1"/>
    <x:xf numFmtId="0" fontId="8" fillId="4" borderId="1" xfId="0" applyNumberFormat="1" applyFont="1" applyFill="1" applyBorder="1"/>
    <x:xf numFmtId="0" fontId="7" fillId="5" borderId="1" xfId="0" applyNumberFormat="1" applyFont="1" applyFill="1" applyBorder="1"/>
    <x:xf numFmtId="0" fontId="8" fillId="4" borderId="1" xfId="0" applyNumberFormat="1" applyFont="1" applyFill="1" applyBorder="1" applyAlignment="1">
      <x:alignment horizontal="left"/>
    </x:xf>
    <x:xf numFmtId="0" fontId="9" fillId="0" borderId="1" xfId="0" applyNumberFormat="1" applyFont="1" applyFill="1" applyBorder="1" applyAlignment="1">
      <x:alignment horizontal="center" vertical="top" wrapText="1"/>
    </x:xf>
    <x:xf numFmtId="0" fontId="7"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0" fontId="8" fillId="2" borderId="1" xfId="0" applyNumberFormat="1" applyFont="1" applyFill="1" applyBorder="1" applyAlignment="1">
      <x:alignment horizontal="center" vertical="center" wrapText="1"/>
    </x:xf>
    <x:xf numFmtId="0" fontId="8" fillId="2" borderId="0" xfId="0" applyNumberFormat="1" applyFont="1" applyFill="1" applyBorder="1" applyAlignment="1">
      <x:alignment horizontal="center" vertical="top" wrapText="1"/>
    </x:xf>
    <x:xf numFmtId="0" fontId="7" fillId="0" borderId="0" xfId="0" applyNumberFormat="1" applyFont="1" applyFill="1" applyBorder="1" applyAlignment="1">
      <x:alignment vertical="top"/>
    </x:xf>
    <x:xf numFmtId="0" fontId="8" fillId="2" borderId="1" xfId="0" applyNumberFormat="1" applyFont="1" applyFill="1" applyBorder="1" applyAlignment="1">
      <x:alignment horizontal="center" vertical="top" wrapText="1"/>
    </x:xf>
    <x:xf numFmtId="0" fontId="7" fillId="0" borderId="1" xfId="0" applyNumberFormat="1" applyFont="1" applyFill="1" applyBorder="1" applyAlignment="1">
      <x:alignment vertical="top"/>
    </x:xf>
  </x:cellXfs>
  <x:cellStyles count="1">
    <x:cellStyle name="Normal" xfId="0"/>
  </x:cellStyles>
  <x:dxfs count="6">
    <x:dxf>
      <x:fill>
        <x:patternFill patternType="solid">
          <x:bgColor rgb="FFDFF2E1"/>
        </x:patternFill>
      </x:fill>
    </x:dxf>
    <x:dxf>
      <x:fill>
        <x:patternFill patternType="solid">
          <x:bgColor rgb="FFFFF1CC"/>
        </x:patternFill>
      </x:fill>
    </x:dxf>
    <x:dxf>
      <x:fill>
        <x:patternFill patternType="solid">
          <x:bgColor rgb="FFFAD9D9"/>
        </x:patternFill>
      </x:fill>
    </x:dxf>
    <x:dxf>
      <x:font>
        <x:b/>
      </x:font>
      <x:fill>
        <x:patternFill patternType="solid">
          <x:bgColor rgb="FFFAD9D9"/>
        </x:patternFill>
      </x:fill>
    </x:dxf>
    <x:dxf>
      <x:fill>
        <x:patternFill patternType="solid">
          <x:bgColor rgb="FFFFF1CC"/>
        </x:patternFill>
      </x:fill>
    </x:dxf>
    <x:dxf>
      <x:fill>
        <x:patternFill patternType="solid">
          <x:bgColor rgb="FFDCEA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b74d871369472d" /><Relationship Type="http://schemas.openxmlformats.org/officeDocument/2006/relationships/theme" Target="/xl/theme/theme1.xml" Id="R37cf1c8e61674734" /><Relationship Type="http://schemas.openxmlformats.org/officeDocument/2006/relationships/sharedStrings" Target="/xl/sharedStrings.xml" Id="R19aa4dc0fa5242c8" /><Relationship Type="http://schemas.openxmlformats.org/officeDocument/2006/relationships/worksheet" Target="/xl/worksheets/sheet1.xml" Id="R5569e2d53c0d4b39" /><Relationship Type="http://schemas.openxmlformats.org/officeDocument/2006/relationships/worksheet" Target="/xl/worksheets/sheet2.xml" Id="Rfde03fc0efda4931" /><Relationship Type="http://schemas.openxmlformats.org/officeDocument/2006/relationships/worksheet" Target="/xl/worksheets/sheet3.xml" Id="R2a3f6a812bcf4d07" /><Relationship Type="http://schemas.openxmlformats.org/officeDocument/2006/relationships/worksheet" Target="/xl/worksheets/sheet4.xml" Id="R47da69be2493463b" /><Relationship Type="http://schemas.openxmlformats.org/officeDocument/2006/relationships/worksheet" Target="/xl/worksheets/sheet5.xml" Id="R60d84b019d124d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cfd69f912047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Review outcomes</a:t>
            </a:r>
          </a:p>
        </c:rich>
      </c:tx>
      <c:overlay val="0"/>
    </c:title>
    <c:autoTitleDeleted val="0"/>
    <c:plotArea>
      <c:layout/>
      <c:barChart>
        <c:barDir val="col"/>
        <c:varyColors val="0"/>
        <c:ser>
          <c:idx val="0"/>
          <c:order val="0"/>
          <c:tx>
            <c:v>Count</c:v>
          </c:tx>
          <c:cat>
            <c:strRef>
              <c:f>'Summary'!$A$17:$A$19</c:f>
              <c:strCache>
                <c:ptCount val="0"/>
              </c:strCache>
            </c:strRef>
          </c:cat>
          <c:val>
            <c:numRef>
              <c:f>'Summary'!$B$17:$B$19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cfd69f912047d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5a3b4f656ad4bc7" /></Relationships>
</file>

<file path=xl/worksheets/sheet1.xml><?xml version="1.0" encoding="utf-8"?>
<x:worksheet xmlns:x="http://schemas.openxmlformats.org/spreadsheetml/2006/main">
  <x:sheetFormatPr defaultRowHeight="15"/>
  <x:cols>
    <x:col min="1" max="1" width="16" hidden="0" customWidth="1"/>
    <x:col min="2" max="2" width="38" hidden="0" customWidth="1"/>
    <x:col min="3" max="3" width="3" hidden="0" customWidth="1"/>
    <x:col min="4" max="4" width="14" hidden="0" customWidth="1"/>
    <x:col min="5" max="5" width="14" hidden="0" customWidth="1"/>
    <x:col min="6" max="6" width="14" hidden="0" customWidth="1"/>
    <x:col min="7" max="7" width="14" hidden="0" customWidth="1"/>
    <x:col min="8" max="8" width="14" hidden="0" customWidth="1"/>
  </x:cols>
  <x:sheetData>
    <x:row r="1" ht="32" customHeight="1">
      <x:c r="A1" s="37" t="str">
        <x:v>Load-Bearing Source Review</x:v>
      </x:c>
      <x:c r="B1" s="37"/>
      <x:c r="C1" s="37"/>
      <x:c r="D1" s="37"/>
      <x:c r="E1" s="37"/>
      <x:c r="F1" s="37"/>
      <x:c r="G1" s="37"/>
      <x:c r="H1" s="37"/>
    </x:row>
    <x:row r="2" ht="34" customHeight="1">
      <x:c r="A2" s="38" t="str">
        <x:v>All 20 queue papers were reviewed individually. Statuses below are assistant source review only and require human signoff.</x:v>
      </x:c>
      <x:c r="B2" s="38"/>
      <x:c r="C2" s="38"/>
      <x:c r="D2" s="38"/>
      <x:c r="E2" s="38"/>
      <x:c r="F2" s="38"/>
      <x:c r="G2" s="38"/>
      <x:c r="H2" s="38"/>
    </x:row>
    <x:row r="3">
      <x:c r="A3" s="39"/>
      <x:c r="B3" s="39"/>
      <x:c r="C3" s="39"/>
      <x:c r="D3" s="39"/>
      <x:c r="E3" s="39"/>
      <x:c r="F3" s="39"/>
      <x:c r="G3" s="39"/>
      <x:c r="H3" s="39"/>
    </x:row>
    <x:row r="4">
      <x:c r="A4" s="40" t="str">
        <x:v>KPI</x:v>
      </x:c>
      <x:c r="B4" s="40" t="str">
        <x:v>Value</x:v>
      </x:c>
      <x:c r="C4" s="39"/>
      <x:c r="D4" s="40" t="str">
        <x:v>KPI</x:v>
      </x:c>
      <x:c r="E4" s="40" t="str">
        <x:v>Value</x:v>
      </x:c>
      <x:c r="F4" s="39"/>
      <x:c r="G4" s="39"/>
      <x:c r="H4" s="39"/>
    </x:row>
    <x:row r="5">
      <x:c r="A5" s="41" t="str">
        <x:v>Total papers</x:v>
      </x:c>
      <x:c r="B5" s="41" t="n">
        <x:f>COUNTA(Identity_Scope!A2:A21)</x:f>
        <x:v>20</x:v>
      </x:c>
      <x:c r="C5" s="39"/>
      <x:c r="D5" s="41" t="str">
        <x:v>Pending exact source</x:v>
      </x:c>
      <x:c r="E5" s="41" t="n">
        <x:f>COUNTIF(Identity_Scope!K2:K21,"Pending final source verification")+COUNTIF(Identity_Scope!K2:K21,"Pending exact full-text verification")</x:f>
        <x:v>2</x:v>
      </x:c>
      <x:c r="F5" s="39"/>
      <x:c r="G5" s="39"/>
      <x:c r="H5" s="39"/>
    </x:row>
    <x:row r="6">
      <x:c r="A6" s="41" t="str">
        <x:v>Minor patch</x:v>
      </x:c>
      <x:c r="B6" s="41" t="n">
        <x:f>COUNTIF(Identity_Scope!K2:K21,"Ready after minor patch")</x:f>
        <x:v>9</x:v>
      </x:c>
      <x:c r="C6" s="39"/>
      <x:c r="D6" s="41" t="str">
        <x:v>Human verified</x:v>
      </x:c>
      <x:c r="E6" s="41" t="n">
        <x:v>0</x:v>
      </x:c>
      <x:c r="F6" s="39"/>
      <x:c r="G6" s="39"/>
      <x:c r="H6" s="39"/>
    </x:row>
    <x:row r="7">
      <x:c r="A7" s="41" t="str">
        <x:v>Major patch</x:v>
      </x:c>
      <x:c r="B7" s="41" t="n">
        <x:f>COUNTIF(Identity_Scope!K2:K21,"Ready after major patch")</x:f>
        <x:v>9</x:v>
      </x:c>
      <x:c r="C7" s="39"/>
      <x:c r="D7" s="39"/>
      <x:c r="E7" s="39"/>
      <x:c r="F7" s="39"/>
      <x:c r="G7" s="39"/>
      <x:c r="H7" s="39"/>
    </x:row>
    <x:row r="8">
      <x:c r="A8" s="39"/>
      <x:c r="B8" s="39"/>
      <x:c r="C8" s="39"/>
      <x:c r="D8" s="39"/>
      <x:c r="E8" s="39"/>
      <x:c r="F8" s="39"/>
      <x:c r="G8" s="39"/>
      <x:c r="H8" s="39"/>
    </x:row>
    <x:row r="9">
      <x:c r="A9" s="42" t="str">
        <x:v>Queue-level findings</x:v>
      </x:c>
      <x:c r="B9" s="42"/>
      <x:c r="C9" s="42"/>
      <x:c r="D9" s="42"/>
      <x:c r="E9" s="42"/>
      <x:c r="F9" s="42"/>
      <x:c r="G9" s="42"/>
      <x:c r="H9" s="42"/>
    </x:row>
    <x:row r="10" ht="40" customHeight="1">
      <x:c r="A10" s="43" t="str">
        <x:v>1</x:v>
      </x:c>
      <x:c r="B10" s="44" t="str">
        <x:v>At least seven records currently coded primarily as attack should be recategorized as benchmark, evaluation, defense, protocol, or mixed role.</x:v>
      </x:c>
      <x:c r="C10" s="44" t="str"/>
      <x:c r="D10" s="44" t="str"/>
      <x:c r="E10" s="44" t="str"/>
      <x:c r="F10" s="44" t="str"/>
      <x:c r="G10" s="44" t="str"/>
      <x:c r="H10" s="44" t="str"/>
    </x:row>
    <x:row r="11" ht="40" customHeight="1">
      <x:c r="A11" s="43" t="str">
        <x:v>2</x:v>
      </x:c>
      <x:c r="B11" s="44" t="str">
        <x:v>Four records need scope qualification: AI Worm, NetSafe, Whispering Agents, and Parasites in the Toolchain.</x:v>
      </x:c>
      <x:c r="C11" s="44" t="str"/>
      <x:c r="D11" s="44" t="str"/>
      <x:c r="E11" s="44" t="str"/>
      <x:c r="F11" s="44" t="str"/>
      <x:c r="G11" s="44" t="str"/>
      <x:c r="H11" s="44" t="str"/>
    </x:row>
    <x:row r="12" ht="40" customHeight="1">
      <x:c r="A12" s="43" t="str">
        <x:v>3</x:v>
      </x:c>
      <x:c r="B12" s="44" t="str">
        <x:v>Canonical-version corrections are required for AI Worm, Flooding, MASLeak, Whispering Agents, Byzantine Reliability, and Parasites.</x:v>
      </x:c>
      <x:c r="C12" s="44" t="str"/>
      <x:c r="D12" s="44" t="str"/>
      <x:c r="E12" s="44" t="str"/>
      <x:c r="F12" s="44" t="str"/>
      <x:c r="G12" s="44" t="str"/>
      <x:c r="H12" s="44" t="str"/>
    </x:row>
    <x:row r="13" ht="40" customHeight="1">
      <x:c r="A13" s="43" t="str">
        <x:v>4</x:v>
      </x:c>
      <x:c r="B13" s="44" t="str">
        <x:v>The same label ASR denotes incompatible units and denominators across the queue.</x:v>
      </x:c>
      <x:c r="C13" s="44" t="str"/>
      <x:c r="D13" s="44" t="str"/>
      <x:c r="E13" s="44" t="str"/>
      <x:c r="F13" s="44" t="str"/>
      <x:c r="G13" s="44" t="str"/>
      <x:c r="H13" s="44" t="str"/>
    </x:row>
    <x:row r="14" ht="40" customHeight="1">
      <x:c r="A14" s="43" t="str">
        <x:v>5</x:v>
      </x:c>
      <x:c r="B14" s="44" t="str">
        <x:v>No item should be changed to human_verified from this audit alone.</x:v>
      </x:c>
      <x:c r="C14" s="44" t="str"/>
      <x:c r="D14" s="44" t="str"/>
      <x:c r="E14" s="44" t="str"/>
      <x:c r="F14" s="44" t="str"/>
      <x:c r="G14" s="44" t="str"/>
      <x:c r="H14" s="44" t="str"/>
    </x:row>
    <x:row r="15">
      <x:c r="A15" s="39"/>
      <x:c r="B15" s="39"/>
      <x:c r="C15" s="39"/>
      <x:c r="D15" s="39"/>
      <x:c r="E15" s="39"/>
      <x:c r="F15" s="39"/>
      <x:c r="G15" s="39"/>
      <x:c r="H15" s="39"/>
    </x:row>
    <x:row r="16">
      <x:c r="A16" s="40" t="str">
        <x:v>Outcome</x:v>
      </x:c>
      <x:c r="B16" s="40" t="str">
        <x:v>Count</x:v>
      </x:c>
      <x:c r="C16" s="39"/>
      <x:c r="D16" s="39"/>
      <x:c r="E16" s="39"/>
      <x:c r="F16" s="39"/>
      <x:c r="G16" s="39"/>
      <x:c r="H16" s="39"/>
    </x:row>
    <x:row r="17">
      <x:c r="A17" s="39" t="str">
        <x:v>Ready after minor patch</x:v>
      </x:c>
      <x:c r="B17" s="39" t="n">
        <x:v>9</x:v>
      </x:c>
      <x:c r="C17" s="39"/>
      <x:c r="D17" s="39"/>
      <x:c r="E17" s="39"/>
      <x:c r="F17" s="39"/>
      <x:c r="G17" s="39"/>
      <x:c r="H17" s="39"/>
    </x:row>
    <x:row r="18">
      <x:c r="A18" s="39" t="str">
        <x:v>Ready after major patch</x:v>
      </x:c>
      <x:c r="B18" s="39" t="n">
        <x:v>9</x:v>
      </x:c>
      <x:c r="C18" s="39"/>
      <x:c r="D18" s="39"/>
      <x:c r="E18" s="39"/>
      <x:c r="F18" s="39"/>
      <x:c r="G18" s="39"/>
      <x:c r="H18" s="39"/>
    </x:row>
    <x:row r="19">
      <x:c r="A19" s="39" t="str">
        <x:v>Pending exact source</x:v>
      </x:c>
      <x:c r="B19" s="39" t="n">
        <x:v>2</x:v>
      </x:c>
      <x:c r="C19" s="39"/>
      <x:c r="D19" s="39"/>
      <x:c r="E19" s="39"/>
      <x:c r="F19" s="39"/>
      <x:c r="G19" s="39"/>
      <x:c r="H19" s="39"/>
    </x:row>
    <x:row r="20">
      <x:c r="A20" s="39"/>
      <x:c r="B20" s="39"/>
      <x:c r="C20" s="39"/>
      <x:c r="D20" s="39"/>
      <x:c r="E20" s="39"/>
      <x:c r="F20" s="39"/>
      <x:c r="G20" s="39"/>
      <x:c r="H20" s="39"/>
    </x:row>
    <x:row r="21">
      <x:c r="A21" s="39"/>
      <x:c r="B21" s="39"/>
      <x:c r="C21" s="39"/>
      <x:c r="D21" s="39"/>
      <x:c r="E21" s="39"/>
      <x:c r="F21" s="39"/>
      <x:c r="G21" s="39"/>
      <x:c r="H21" s="39"/>
    </x:row>
    <x:row r="22">
      <x:c r="A22" s="39"/>
      <x:c r="B22" s="39"/>
      <x:c r="C22" s="39"/>
      <x:c r="D22" s="39"/>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sheetData>
  <x:mergeCells>
    <x:mergeCell ref="A1:H1"/>
    <x:mergeCell ref="A2:H2"/>
    <x:mergeCell ref="A9:H9"/>
    <x:mergeCell ref="B10:H10"/>
    <x:mergeCell ref="B11:H11"/>
    <x:mergeCell ref="B12:H12"/>
    <x:mergeCell ref="B13:H13"/>
    <x:mergeCell ref="B14:H14"/>
  </x:mergeCells>
  <x:pageMargins left="0.7" right="0.7" top="0.75" bottom="0.75" header="0.3" footer="0.3"/>
  <x:drawing xmlns:r="http://schemas.openxmlformats.org/officeDocument/2006/relationships" r:id="R25a3b4f656ad4bc7"/>
</x:worksheet>
</file>

<file path=xl/worksheets/sheet2.xml><?xml version="1.0" encoding="utf-8"?>
<x:worksheet xmlns:x="http://schemas.openxmlformats.org/spreadsheetml/2006/main">
  <x:sheetFormatPr defaultRowHeight="15"/>
  <x:cols>
    <x:col min="1" max="1" width="8" hidden="0" customWidth="1"/>
    <x:col min="2" max="2" width="25" hidden="0" customWidth="1"/>
    <x:col min="3" max="3" width="46" hidden="0" customWidth="1"/>
    <x:col min="4" max="4" width="24" hidden="0" customWidth="1"/>
    <x:col min="5" max="5" width="22" hidden="0" customWidth="1"/>
    <x:col min="6" max="6" width="34" hidden="0" customWidth="1"/>
    <x:col min="7" max="7" width="52" hidden="0" customWidth="1"/>
    <x:col min="8" max="8" width="18" hidden="0" customWidth="1"/>
    <x:col min="9" max="9" width="28" hidden="0" customWidth="1"/>
    <x:col min="10" max="10" width="58" hidden="0" customWidth="1"/>
    <x:col min="11" max="11" width="26" hidden="0" customWidth="1"/>
  </x:cols>
  <x:sheetData>
    <x:row r="1" ht="32" customHeight="1">
      <x:c r="A1" s="65" t="str">
        <x:v>Priority</x:v>
      </x:c>
      <x:c r="B1" s="65" t="str">
        <x:v>Paper ID</x:v>
      </x:c>
      <x:c r="C1" s="65" t="str">
        <x:v>Canonical title</x:v>
      </x:c>
      <x:c r="D1" s="65" t="str">
        <x:v>Venue / Year</x:v>
      </x:c>
      <x:c r="E1" s="65" t="str">
        <x:v>DOI</x:v>
      </x:c>
      <x:c r="F1" s="65" t="str">
        <x:v>Official source</x:v>
      </x:c>
      <x:c r="G1" s="65" t="str">
        <x:v>Identity / version verdict</x:v>
      </x:c>
      <x:c r="H1" s="65" t="str">
        <x:v>Current scope</x:v>
      </x:c>
      <x:c r="I1" s="65" t="str">
        <x:v>Recommended scope</x:v>
      </x:c>
      <x:c r="J1" s="65" t="str">
        <x:v>MAS dependency</x:v>
      </x:c>
      <x:c r="K1" s="65" t="str">
        <x:v>Review outcome</x:v>
      </x:c>
      <x:c r="L1" s="66"/>
      <x:c r="M1" s="66"/>
      <x:c r="N1" s="66"/>
      <x:c r="O1" s="66"/>
      <x:c r="P1" s="66"/>
      <x:c r="Q1" s="66"/>
      <x:c r="R1" s="66"/>
      <x:c r="S1" s="66"/>
      <x:c r="T1" s="66"/>
      <x:c r="U1" s="66"/>
      <x:c r="V1" s="66"/>
      <x:c r="W1" s="66"/>
      <x:c r="X1" s="66"/>
      <x:c r="Y1" s="66"/>
      <x:c r="Z1" s="66"/>
    </x:row>
    <x:row r="2">
      <x:c r="A2" s="61" t="n">
        <x:v>1</x:v>
      </x:c>
      <x:c r="B2" s="29" t="str">
        <x:v>gu2024agent_smith</x:v>
      </x:c>
      <x:c r="C2" s="29" t="str">
        <x:v>Agent Smith: A Single Image Can Jailbreak One Million Multimodal LLM Agents Exponentially Fast</x:v>
      </x:c>
      <x:c r="D2" s="29" t="str">
        <x:v>ICML 2024, PMLR 235</x:v>
      </x:c>
      <x:c r="E2" s="29" t="str">
        <x:v>Not reported</x:v>
      </x:c>
      <x:c r="F2" s="29" t="str">
        <x:v>https://proceedings.mlr.press/v235/gu24e.html</x:v>
      </x:c>
      <x:c r="G2" s="29" t="str">
        <x:v>Canonical published ICML version confirmed. Current title, author list, and year are consistent with PMLR. Use the PMLR record as canonical and retain any arXiv copy only as a linked version.</x:v>
      </x:c>
      <x:c r="H2" s="29" t="str">
        <x:v>core_security</x:v>
      </x:c>
      <x:c r="I2" s="29" t="str">
        <x:v>core_security</x:v>
      </x:c>
      <x:c r="J2" s="29" t="str">
        <x:v>The system contains independently instantiated multimodal agents with memory banks and randomized pairwise communication. Population spread and its growth are undefined for a single isolated agent.</x:v>
      </x:c>
      <x:c r="K2" s="29" t="str">
        <x:v>Ready after minor patch</x:v>
      </x:c>
    </x:row>
    <x:row r="3">
      <x:c r="A3" s="61" t="n">
        <x:v>2</x:v>
      </x:c>
      <x:c r="B3" s="29" t="str">
        <x:v>motwani2024secret_collusion</x:v>
      </x:c>
      <x:c r="C3" s="29" t="str">
        <x:v>Secret Collusion among AI Agents: Multi-Agent Deception via Steganography</x:v>
      </x:c>
      <x:c r="D3" s="29" t="str">
        <x:v>NeurIPS 2024</x:v>
      </x:c>
      <x:c r="E3" s="29" t="str">
        <x:v>10.52202/079017-2336</x:v>
      </x:c>
      <x:c r="F3" s="29" t="str">
        <x:v>https://proceedings.neurips.cc/paper_files/paper/2024/hash/861f7dad098aec1c3560fb7add468d41-Abstract-Conference.html</x:v>
      </x:c>
      <x:c r="G3" s="29" t="str">
        <x:v>Canonical NeurIPS 2024 proceedings version confirmed. Current title, authors, year, venue, and DOI are consistent with the proceedings.</x:v>
      </x:c>
      <x:c r="H3" s="29" t="str">
        <x:v>core_security</x:v>
      </x:c>
      <x:c r="I3" s="29" t="str">
        <x:v>core_security</x:v>
      </x:c>
      <x:c r="J3" s="29" t="str">
        <x:v>Secret collusion requires at least a sender, receiver, and oversight model. The prohibited coordination and detectability question do not exist for one isolated agent.</x:v>
      </x:c>
      <x:c r="K3" s="29" t="str">
        <x:v>Ready after minor patch</x:v>
      </x:c>
    </x:row>
    <x:row r="4">
      <x:c r="A4" s="61" t="n">
        <x:v>3</x:v>
      </x:c>
      <x:c r="B4" s="29" t="str">
        <x:v>men2025troublemaker</x:v>
      </x:c>
      <x:c r="C4" s="29" t="str">
        <x:v>A Troublemaker with Contagious Jailbreak Makes Chaos in Honest Towns</x:v>
      </x:c>
      <x:c r="D4" s="29" t="str">
        <x:v>ACL 2025</x:v>
      </x:c>
      <x:c r="E4" s="29" t="str">
        <x:v>10.18653/v1/2025.acl-long.859</x:v>
      </x:c>
      <x:c r="F4" s="29" t="str">
        <x:v>https://aclanthology.org/2025.acl-long.859/</x:v>
      </x:c>
      <x:c r="G4" s="29" t="str">
        <x:v>Canonical ACL 2025 version confirmed. Current title, author list, DOI, venue, and year are correct.</x:v>
      </x:c>
      <x:c r="H4" s="29" t="str">
        <x:v>core_security</x:v>
      </x:c>
      <x:c r="I4" s="29" t="str">
        <x:v>core_security</x:v>
      </x:c>
      <x:c r="J4" s="29" t="str">
        <x:v>One malicious member spreads jailbreak content through communication and independent memories; retrieval, replication, topology, and population size determine system-level propagation.</x:v>
      </x:c>
      <x:c r="K4" s="29" t="str">
        <x:v>Ready after minor patch</x:v>
      </x:c>
    </x:row>
    <x:row r="5">
      <x:c r="A5" s="61" t="n">
        <x:v>4</x:v>
      </x:c>
      <x:c r="B5" s="29" t="str">
        <x:v>cohen2025ai_worm</x:v>
      </x:c>
      <x:c r="C5" s="29" t="str">
        <x:v>Here Comes the AI Worm: Preventing the Propagation of Adversarial Self-Replicating Prompts Within GenAI Ecosystems</x:v>
      </x:c>
      <x:c r="D5" s="29" t="str">
        <x:v>ACM CCS 2025, pp. 3975 to 3989</x:v>
      </x:c>
      <x:c r="E5" s="29" t="str">
        <x:v>10.1145/3719027.3765196</x:v>
      </x:c>
      <x:c r="F5" s="29" t="str">
        <x:v>https://doi.org/10.1145/3719027.3765196</x:v>
      </x:c>
      <x:c r="G5" s="29" t="str">
        <x:v>The CCS paper is the canonical version. The earlier arXiv version used the title 'Here Comes The AI Worm: Unleashing Zero-click Worms that Target GenAI-Powered Applications' and used earlier system names. Merge them as one work but preserve version-specific terminology and results.</x:v>
      </x:c>
      <x:c r="H5" s="29" t="str">
        <x:v>core_security</x:v>
      </x:c>
      <x:c r="I5" s="29" t="str">
        <x:v>security_relevant</x:v>
      </x:c>
      <x:c r="J5" s="29" t="str">
        <x:v>The work studies a network of GenAI email and RAG applications and users. It is highly relevant to propagation, but the system boundary is broader than a population of independently stateful LLM agent cores.</x:v>
      </x:c>
      <x:c r="K5" s="29" t="str">
        <x:v>Ready after major patch</x:v>
      </x:c>
    </x:row>
    <x:row r="6">
      <x:c r="A6" s="61" t="n">
        <x:v>5</x:v>
      </x:c>
      <x:c r="B6" s="29" t="str">
        <x:v>ju2026flooding</x:v>
      </x:c>
      <x:c r="C6" s="29" t="str">
        <x:v>Flooding Spread of Manipulated Knowledge in LLM-Based Multi-Agent Communities</x:v>
      </x:c>
      <x:c r="D6" s="29" t="str">
        <x:v>Science China Information Sciences 2026</x:v>
      </x:c>
      <x:c r="E6" s="29" t="str">
        <x:v>10.1007/s11432-024-4663-2</x:v>
      </x:c>
      <x:c r="F6" s="29" t="str">
        <x:v>https://doi.org/10.1007/s11432-024-4663-2</x:v>
      </x:c>
      <x:c r="G6" s="29" t="str">
        <x:v>The journal DOI and title are confirmed, but the final journal author metadata appears to disagree with the current ten-author record, potentially adding Yi Hua. The final journal PDF must be treated as authoritative before signoff.</x:v>
      </x:c>
      <x:c r="H6" s="29" t="str">
        <x:v>core_security</x:v>
      </x:c>
      <x:c r="I6" s="29" t="str">
        <x:v>core_security</x:v>
      </x:c>
      <x:c r="J6" s="29" t="str">
        <x:v>Manipulated knowledge spreads through communication and stored chat histories among LLM agents and persists through RAG retrieval.</x:v>
      </x:c>
      <x:c r="K6" s="29" t="str">
        <x:v>Pending final source verification</x:v>
      </x:c>
    </x:row>
    <x:row r="7">
      <x:c r="A7" s="61" t="n">
        <x:v>6</x:v>
      </x:c>
      <x:c r="B7" s="29" t="str">
        <x:v>wang2025gsafeguard</x:v>
      </x:c>
      <x:c r="C7" s="29" t="str">
        <x:v>G-Safeguard: A Topology-Guided Security Lens and Treatment on LLM-based Multi-agent Systems</x:v>
      </x:c>
      <x:c r="D7" s="29" t="str">
        <x:v>ACL 2025, pp. 7261 to 7276</x:v>
      </x:c>
      <x:c r="E7" s="29" t="str">
        <x:v>10.18653/v1/2025.acl-long.359</x:v>
      </x:c>
      <x:c r="F7" s="29" t="str">
        <x:v>https://aclanthology.org/2025.acl-long.359/</x:v>
      </x:c>
      <x:c r="G7" s="29" t="str">
        <x:v>Canonical ACL 2025 proceedings version confirmed. Metadata is correct.</x:v>
      </x:c>
      <x:c r="H7" s="29" t="str">
        <x:v>core_security</x:v>
      </x:c>
      <x:c r="I7" s="29" t="str">
        <x:v>core_security</x:v>
      </x:c>
      <x:c r="J7" s="29" t="str">
        <x:v>The method explicitly represents multi-agent utterances and their graph relations and intervenes on communication topology.</x:v>
      </x:c>
      <x:c r="K7" s="29" t="str">
        <x:v>Ready after major patch</x:v>
      </x:c>
    </x:row>
    <x:row r="8">
      <x:c r="A8" s="61" t="n">
        <x:v>7</x:v>
      </x:c>
      <x:c r="B8" s="29" t="str">
        <x:v>yu2025netsafe</x:v>
      </x:c>
      <x:c r="C8" s="29" t="str">
        <x:v>NetSafe: Exploring the Topological Safety of Multi-agent System</x:v>
      </x:c>
      <x:c r="D8" s="29" t="str">
        <x:v>Findings of ACL 2025</x:v>
      </x:c>
      <x:c r="E8" s="29" t="str">
        <x:v>10.18653/v1/2025.findings-acl.150</x:v>
      </x:c>
      <x:c r="F8" s="29" t="str">
        <x:v>https://aclanthology.org/2025.findings-acl.150/</x:v>
      </x:c>
      <x:c r="G8" s="29" t="str">
        <x:v>Canonical Findings of ACL 2025 version confirmed. Metadata is correct.</x:v>
      </x:c>
      <x:c r="H8" s="29" t="str">
        <x:v>core_security</x:v>
      </x:c>
      <x:c r="I8" s="29" t="str">
        <x:v>security_relevant at paper level; core_security for adversarial claims</x:v>
      </x:c>
      <x:c r="J8" s="29" t="str">
        <x:v>The paper mixes adversarial misinformation or harmful content with broader hallucination, bias, fairness, and reliability phenomena. Only the adversarial security claims should enter core-security statistics.</x:v>
      </x:c>
      <x:c r="K8" s="29" t="str">
        <x:v>Ready after major patch</x:v>
      </x:c>
    </x:row>
    <x:row r="9">
      <x:c r="A9" s="61" t="n">
        <x:v>8</x:v>
      </x:c>
      <x:c r="B9" s="29" t="str">
        <x:v>zhou2026corba</x:v>
      </x:c>
      <x:c r="C9" s="29" t="str">
        <x:v>CORBA: Contagious Recursive Blocking Attacks on Multi-Agent Systems Based on Large Language Models</x:v>
      </x:c>
      <x:c r="D9" s="29" t="str">
        <x:v>Findings of ACL 2026</x:v>
      </x:c>
      <x:c r="E9" s="29" t="str">
        <x:v>10.18653/v1/2026.findings-acl.342</x:v>
      </x:c>
      <x:c r="F9" s="29" t="str">
        <x:v>https://aclanthology.org/2026.findings-acl.342/</x:v>
      </x:c>
      <x:c r="G9" s="29" t="str">
        <x:v>Canonical Findings of ACL 2026 version confirmed. Metadata is correct.</x:v>
      </x:c>
      <x:c r="H9" s="29" t="str">
        <x:v>core_security</x:v>
      </x:c>
      <x:c r="I9" s="29" t="str">
        <x:v>core_security</x:v>
      </x:c>
      <x:c r="J9" s="29" t="str">
        <x:v>Recursive communication among agents is the mechanism that turns semantically benign instructions into system-level blocking and paralysis.</x:v>
      </x:c>
      <x:c r="K9" s="29" t="str">
        <x:v>Ready after minor patch</x:v>
      </x:c>
    </x:row>
    <x:row r="10">
      <x:c r="A10" s="61" t="n">
        <x:v>9</x:v>
      </x:c>
      <x:c r="B10" s="29" t="str">
        <x:v>mathew2025hidden</x:v>
      </x:c>
      <x:c r="C10" s="29" t="str">
        <x:v>Hidden in Plain Text: Emergence and Mitigation of Steganographic Collusion in LLMs</x:v>
      </x:c>
      <x:c r="D10" s="29" t="str">
        <x:v>IJCNLP-AACL 2025</x:v>
      </x:c>
      <x:c r="E10" s="29" t="str">
        <x:v>10.18653/v1/2025.ijcnlp-long.34</x:v>
      </x:c>
      <x:c r="F10" s="29" t="str">
        <x:v>https://aclanthology.org/2025.ijcnlp-long.34/</x:v>
      </x:c>
      <x:c r="G10" s="29" t="str">
        <x:v>Canonical IJCNLP-AACL 2025 version confirmed. Metadata is correct.</x:v>
      </x:c>
      <x:c r="H10" s="29" t="str">
        <x:v>core_security</x:v>
      </x:c>
      <x:c r="I10" s="29" t="str">
        <x:v>core_security</x:v>
      </x:c>
      <x:c r="J10" s="29" t="str">
        <x:v>The study uses communicating sender and receiver agents and an overseer; hidden coordination depends on interaction and incentive structure.</x:v>
      </x:c>
      <x:c r="K10" s="29" t="str">
        <x:v>Ready after major patch</x:v>
      </x:c>
    </x:row>
    <x:row r="11">
      <x:c r="A11" s="61" t="n">
        <x:v>10</x:v>
      </x:c>
      <x:c r="B11" s="29" t="str">
        <x:v>hu2026lying_truths</x:v>
      </x:c>
      <x:c r="C11" s="29" t="str">
        <x:v>Lying with Truths: Open-Channel Multi-Agent Collusion for Belief Manipulation via Generative Montage</x:v>
      </x:c>
      <x:c r="D11" s="29" t="str">
        <x:v>ACL 2026, Outstanding Paper</x:v>
      </x:c>
      <x:c r="E11" s="29" t="str">
        <x:v>10.18653/v1/2026.acl-long.270</x:v>
      </x:c>
      <x:c r="F11" s="29" t="str">
        <x:v>https://aclanthology.org/2026.acl-long.270/</x:v>
      </x:c>
      <x:c r="G11" s="29" t="str">
        <x:v>Canonical ACL 2026 version confirmed. Metadata and title are correct.</x:v>
      </x:c>
      <x:c r="H11" s="29" t="str">
        <x:v>core_security</x:v>
      </x:c>
      <x:c r="I11" s="29" t="str">
        <x:v>core_security</x:v>
      </x:c>
      <x:c r="J11" s="29" t="str">
        <x:v>A writer-editor-director coalition coordinates public, individually truthful fragments whose composition manipulates victim agents and downstream judges.</x:v>
      </x:c>
      <x:c r="K11" s="29" t="str">
        <x:v>Ready after minor patch</x:v>
      </x:c>
    </x:row>
    <x:row r="12">
      <x:c r="A12" s="61" t="n">
        <x:v>11</x:v>
      </x:c>
      <x:c r="B12" s="29" t="str">
        <x:v>huang2026whispering_agents</x:v>
      </x:c>
      <x:c r="C12" s="29" t="str">
        <x:v>Whispering Agents: An Event-Driven Covert Communication Protocol for the Internet of Agents</x:v>
      </x:c>
      <x:c r="D12" s="29" t="str">
        <x:v>AAAI 2026, pp. 31185 to 31192</x:v>
      </x:c>
      <x:c r="E12" s="29" t="str">
        <x:v>10.1609/aaai.v40i37.40380</x:v>
      </x:c>
      <x:c r="F12" s="29" t="str">
        <x:v>https://ojs.aaai.org/index.php/AAAI/article/view/40380</x:v>
      </x:c>
      <x:c r="G12" s="29" t="str">
        <x:v>Canonical AAAI version confirmed. The OJS display contains the grammatical title variant 'A Event-Driven'; use the PDF title 'An Event-Driven' as canonical and record the metadata discrepancy.</x:v>
      </x:c>
      <x:c r="H12" s="29" t="str">
        <x:v>core_security</x:v>
      </x:c>
      <x:c r="I12" s="29" t="str">
        <x:v>security_relevant</x:v>
      </x:c>
      <x:c r="J12" s="29" t="str">
        <x:v>It is a dual-use covert communication protocol for paired agents. It directly informs covert coordination and observer scope but is not inherently a malicious attack or evidence of spontaneous collusion.</x:v>
      </x:c>
      <x:c r="K12" s="29" t="str">
        <x:v>Ready after major patch</x:v>
      </x:c>
    </x:row>
    <x:row r="13">
      <x:c r="A13" s="61" t="n">
        <x:v>12</x:v>
      </x:c>
      <x:c r="B13" s="29" t="str">
        <x:v>wang2026masleak</x:v>
      </x:c>
      <x:c r="C13" s="29" t="str">
        <x:v>MASLeak: Investigating and Exposing Intellectual Property Leakage Vulnerabilities in Multi-Agent Systems</x:v>
      </x:c>
      <x:c r="D13" s="29" t="str">
        <x:v>USENIX Security 2026</x:v>
      </x:c>
      <x:c r="E13" s="29" t="str">
        <x:v>Not reported</x:v>
      </x:c>
      <x:c r="F13" s="29" t="str">
        <x:v>https://www.usenix.org/conference/usenixsecurity26/presentation/wang-liwen</x:v>
      </x:c>
      <x:c r="G13" s="29" t="str">
        <x:v>The USENIX title is canonical. The arXiv version has a different title and should be linked as the same work. The current note incorrectly states that no open-access copy exists; an arXiv full text is available.</x:v>
      </x:c>
      <x:c r="H13" s="29" t="str">
        <x:v>core_security</x:v>
      </x:c>
      <x:c r="I13" s="29" t="str">
        <x:v>core_security</x:v>
      </x:c>
      <x:c r="J13" s="29" t="str">
        <x:v>A black-box user extracts agent count, topology, prompts, task instructions, and tools from an internal multi-agent architecture through its public API.</x:v>
      </x:c>
      <x:c r="K13" s="29" t="str">
        <x:v>Ready after minor patch</x:v>
      </x:c>
    </x:row>
    <x:row r="14">
      <x:c r="A14" s="61" t="n">
        <x:v>13</x:v>
      </x:c>
      <x:c r="B14" s="29" t="str">
        <x:v>liu2026topology_memory</x:v>
      </x:c>
      <x:c r="C14" s="29" t="str">
        <x:v>Topology Matters: Measuring Memory Leakage in Multi-Agent LLMs</x:v>
      </x:c>
      <x:c r="D14" s="29" t="str">
        <x:v>Findings of ACL 2026</x:v>
      </x:c>
      <x:c r="E14" s="29" t="str">
        <x:v>10.18653/v1/2026.findings-acl.1980</x:v>
      </x:c>
      <x:c r="F14" s="29" t="str">
        <x:v>https://aclanthology.org/2026.findings-acl.1980/</x:v>
      </x:c>
      <x:c r="G14" s="29" t="str">
        <x:v>Canonical Findings of ACL 2026 version confirmed. Metadata is correct.</x:v>
      </x:c>
      <x:c r="H14" s="29" t="str">
        <x:v>core_security</x:v>
      </x:c>
      <x:c r="I14" s="29" t="str">
        <x:v>core_security</x:v>
      </x:c>
      <x:c r="J14" s="29" t="str">
        <x:v>Private memory originates at one agent and reaches an unauthorized member only through topology-conditioned communication and memory updates.</x:v>
      </x:c>
      <x:c r="K14" s="29" t="str">
        <x:v>Ready after major patch</x:v>
      </x:c>
    </x:row>
    <x:row r="15">
      <x:c r="A15" s="61" t="n">
        <x:v>14</x:v>
      </x:c>
      <x:c r="B15" s="29" t="str">
        <x:v>he2025communication_attacks</x:v>
      </x:c>
      <x:c r="C15" s="29" t="str">
        <x:v>Red-Teaming LLM Multi-Agent Systems via Communication Attacks</x:v>
      </x:c>
      <x:c r="D15" s="29" t="str">
        <x:v>Findings of ACL 2025</x:v>
      </x:c>
      <x:c r="E15" s="29" t="str">
        <x:v>10.18653/v1/2025.findings-acl.349</x:v>
      </x:c>
      <x:c r="F15" s="29" t="str">
        <x:v>https://aclanthology.org/2025.findings-acl.349/</x:v>
      </x:c>
      <x:c r="G15" s="29" t="str">
        <x:v>Canonical Findings of ACL 2025 version confirmed. Metadata is correct.</x:v>
      </x:c>
      <x:c r="H15" s="29" t="str">
        <x:v>core_security</x:v>
      </x:c>
      <x:c r="I15" s="29" t="str">
        <x:v>core_security</x:v>
      </x:c>
      <x:c r="J15" s="29" t="str">
        <x:v>The attack changes only messages between agents while leaving endpoint models uncompromised.</x:v>
      </x:c>
      <x:c r="K15" s="29" t="str">
        <x:v>Ready after minor patch</x:v>
      </x:c>
    </x:row>
    <x:row r="16">
      <x:c r="A16" s="61" t="n">
        <x:v>15</x:v>
      </x:c>
      <x:c r="B16" s="29" t="str">
        <x:v>liu2025collective_manipulation</x:v>
      </x:c>
      <x:c r="C16" s="29" t="str">
        <x:v>Can an Individual Manipulate the Collective Decisions of Multi-Agents?</x:v>
      </x:c>
      <x:c r="D16" s="29" t="str">
        <x:v>EMNLP 2025</x:v>
      </x:c>
      <x:c r="E16" s="29" t="str">
        <x:v>10.18653/v1/2025.emnlp-main.611</x:v>
      </x:c>
      <x:c r="F16" s="29" t="str">
        <x:v>https://aclanthology.org/2025.emnlp-main.611/</x:v>
      </x:c>
      <x:c r="G16" s="29" t="str">
        <x:v>Canonical EMNLP 2025 version confirmed. Metadata is correct.</x:v>
      </x:c>
      <x:c r="H16" s="29" t="str">
        <x:v>core_security</x:v>
      </x:c>
      <x:c r="I16" s="29" t="str">
        <x:v>core_security</x:v>
      </x:c>
      <x:c r="J16" s="29" t="str">
        <x:v>The attacker manipulates one known member and optimizes for a change in the collective decision under incomplete information about the rest of the group.</x:v>
      </x:c>
      <x:c r="K16" s="29" t="str">
        <x:v>Ready after minor patch</x:v>
      </x:c>
    </x:row>
    <x:row r="17">
      <x:c r="A17" s="61" t="n">
        <x:v>16</x:v>
      </x:c>
      <x:c r="B17" s="29" t="str">
        <x:v>zheng2026byzantine_reliability</x:v>
      </x:c>
      <x:c r="C17" s="29" t="str">
        <x:v>Rethinking the Reliability of Multi-agent System: A Perspective from Byzantine Fault Tolerance</x:v>
      </x:c>
      <x:c r="D17" s="29" t="str">
        <x:v>AAAI 2026, pp. 35012 to 35020</x:v>
      </x:c>
      <x:c r="E17" s="29" t="str">
        <x:v>10.1609/aaai.v40i41.40806</x:v>
      </x:c>
      <x:c r="F17" s="29" t="str">
        <x:v>https://ojs.aaai.org/index.php/AAAI/article/view/40806</x:v>
      </x:c>
      <x:c r="G17" s="29" t="str">
        <x:v>Canonical AAAI title uses singular 'System'. The current record should match the OJS and PDF title exactly.</x:v>
      </x:c>
      <x:c r="H17" s="29" t="str">
        <x:v>core_security</x:v>
      </x:c>
      <x:c r="I17" s="29" t="str">
        <x:v>core_security</x:v>
      </x:c>
      <x:c r="J17" s="29" t="str">
        <x:v>Faulty members inject wrong answers through graph edges and a collective procedure aggregates them; the effect depends on fault count, placement, topology, and aggregation.</x:v>
      </x:c>
      <x:c r="K17" s="29" t="str">
        <x:v>Ready after major patch</x:v>
      </x:c>
    </x:row>
    <x:row r="18">
      <x:c r="A18" s="61" t="n">
        <x:v>17</x:v>
      </x:c>
      <x:c r="B18" s="29" t="str">
        <x:v>triedman2025malicious_code</x:v>
      </x:c>
      <x:c r="C18" s="29" t="str">
        <x:v>Multi-Agent Systems Execute Arbitrary Malicious Code</x:v>
      </x:c>
      <x:c r="D18" s="29" t="str">
        <x:v>COLM 2025</x:v>
      </x:c>
      <x:c r="E18" s="29" t="str">
        <x:v>Not reported</x:v>
      </x:c>
      <x:c r="F18" s="29" t="str">
        <x:v>https://openreview.net/forum?id=DAozI4etUp</x:v>
      </x:c>
      <x:c r="G18" s="29" t="str">
        <x:v>Published COLM 2025 record and arXiv version lineage confirmed. Use the conference record as canonical.</x:v>
      </x:c>
      <x:c r="H18" s="29" t="str">
        <x:v>core_security</x:v>
      </x:c>
      <x:c r="I18" s="29" t="str">
        <x:v>core_security</x:v>
      </x:c>
      <x:c r="J18" s="29" t="str">
        <x:v>Untrusted content hijacks multi-agent control flow and routing to invoke otherwise unreachable unsafe agents or functions.</x:v>
      </x:c>
      <x:c r="K18" s="29" t="str">
        <x:v>Ready after minor patch</x:v>
      </x:c>
    </x:row>
    <x:row r="19">
      <x:c r="A19" s="61" t="n">
        <x:v>18</x:v>
      </x:c>
      <x:c r="B19" s="29" t="str">
        <x:v>arif2026conjunctive</x:v>
      </x:c>
      <x:c r="C19" s="29" t="str">
        <x:v>Conjunctive Prompt Attacks in Multi-Agent LLM Systems</x:v>
      </x:c>
      <x:c r="D19" s="29" t="str">
        <x:v>ACL 2026</x:v>
      </x:c>
      <x:c r="E19" s="29" t="str">
        <x:v>10.18653/v1/2026.acl-long.1577</x:v>
      </x:c>
      <x:c r="F19" s="29" t="str">
        <x:v>https://aclanthology.org/2026.acl-long.1577/</x:v>
      </x:c>
      <x:c r="G19" s="29" t="str">
        <x:v>Canonical ACL 2026 version confirmed. Metadata is correct.</x:v>
      </x:c>
      <x:c r="H19" s="29" t="str">
        <x:v>core_security</x:v>
      </x:c>
      <x:c r="I19" s="29" t="str">
        <x:v>core_security</x:v>
      </x:c>
      <x:c r="J19" s="29" t="str">
        <x:v>A user trigger and a compromised remote-agent template are benign in isolation and become harmful only when routing composes them.</x:v>
      </x:c>
      <x:c r="K19" s="29" t="str">
        <x:v>Ready after major patch</x:v>
      </x:c>
    </x:row>
    <x:row r="20">
      <x:c r="A20" s="61" t="n">
        <x:v>19</x:v>
      </x:c>
      <x:c r="B20" s="29" t="str">
        <x:v>zhao2026parasites</x:v>
      </x:c>
      <x:c r="C20" s="29" t="str">
        <x:v>Parasites in the Toolchain: A Large-Scale Analysis of Attacks on the MCP Ecosystem</x:v>
      </x:c>
      <x:c r="D20" s="29" t="str">
        <x:v>IEEE Symposium on Security and Privacy 2026, pp. 138 to 155</x:v>
      </x:c>
      <x:c r="E20" s="29" t="str">
        <x:v>10.1109/SP63933.2026.00154</x:v>
      </x:c>
      <x:c r="F20" s="29" t="str">
        <x:v>https://arxiv.org/abs/2509.06572</x:v>
      </x:c>
      <x:c r="G20" s="29" t="str">
        <x:v>Accepted and published at IEEE S&amp;P 2026. Replace the arXiv-only venue record with final IEEE proceedings metadata while keeping the accepted arXiv version linked.</x:v>
      </x:c>
      <x:c r="H20" s="29" t="str">
        <x:v>core_security</x:v>
      </x:c>
      <x:c r="I20" s="29" t="str">
        <x:v>security_relevant</x:v>
      </x:c>
      <x:c r="J20" s="29" t="str">
        <x:v>The system is one LLM host composing multiple MCP servers and tools. It is directly relevant to distributed capability composition but does not necessarily contain multiple independently stateful LLM agent cores.</x:v>
      </x:c>
      <x:c r="K20" s="29" t="str">
        <x:v>Ready after major patch</x:v>
      </x:c>
    </x:row>
    <x:row r="21">
      <x:c r="A21" s="61" t="n">
        <x:v>20</x:v>
      </x:c>
      <x:c r="B21" s="29" t="str">
        <x:v>li2026a2asecbench</x:v>
      </x:c>
      <x:c r="C21" s="29" t="str">
        <x:v>A2ASecBench: A Protocol-Aware Security Benchmark for Agent-to-Agent Multi-Agent Systems</x:v>
      </x:c>
      <x:c r="D21" s="29" t="str">
        <x:v>ICLR 2026</x:v>
      </x:c>
      <x:c r="E21" s="29" t="str">
        <x:v>Not reported</x:v>
      </x:c>
      <x:c r="F21" s="29" t="str">
        <x:v>https://iclr.cc/virtual/2026/poster/10010017</x:v>
      </x:c>
      <x:c r="G21" s="29" t="str">
        <x:v>Official ICLR program and project repository confirm title, authors, and ICLR 2026 status. No DOI is reported. The full OpenReview PDF was not reliably retrievable during this audit, so exact page and table locators remain pending.</x:v>
      </x:c>
      <x:c r="H21" s="29" t="str">
        <x:v>core_security</x:v>
      </x:c>
      <x:c r="I21" s="29" t="str">
        <x:v>core_security</x:v>
      </x:c>
      <x:c r="J21" s="29" t="str">
        <x:v>The benchmark targets heterogeneous client and remote agents communicating through the A2A protocol across discovery, task state, requests, and artifacts.</x:v>
      </x:c>
      <x:c r="K21" s="29" t="str">
        <x:v>Pending exact full-text verification</x:v>
      </x:c>
    </x:row>
  </x:sheetData>
  <x:conditionalFormatting sqref="K2:K21">
    <x:cfRule type="expression" dxfId="0" priority="1">
      <x:formula>$K2="Ready after minor patch"</x:formula>
    </x:cfRule>
    <x:cfRule type="expression" dxfId="1" priority="2">
      <x:formula>$K2="Ready after major patch"</x:formula>
    </x:cfRule>
    <x:cfRule type="expression" dxfId="2" priority="3">
      <x:formula>LEFT($K2,7)="Pending"</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18" hidden="0" customWidth="1"/>
    <x:col min="4" max="4" width="30" hidden="0" customWidth="1"/>
    <x:col min="5" max="5" width="42" hidden="0" customWidth="1"/>
    <x:col min="6" max="6" width="46" hidden="0" customWidth="1"/>
    <x:col min="7" max="7" width="46" hidden="0" customWidth="1"/>
    <x:col min="8" max="8" width="38" hidden="0" customWidth="1"/>
    <x:col min="9" max="9" width="44" hidden="0" customWidth="1"/>
    <x:col min="10" max="10" width="38" hidden="0" customWidth="1"/>
    <x:col min="11" max="11" width="42" hidden="0" customWidth="1"/>
    <x:col min="12" max="12" width="55" hidden="0" customWidth="1"/>
  </x:cols>
  <x:sheetData>
    <x:row r="1" ht="34" customHeight="1">
      <x:c r="A1" s="65" t="str">
        <x:v>Priority</x:v>
      </x:c>
      <x:c r="B1" s="65" t="str">
        <x:v>Paper ID</x:v>
      </x:c>
      <x:c r="C1" s="65" t="str">
        <x:v>Current category</x:v>
      </x:c>
      <x:c r="D1" s="65" t="str">
        <x:v>Recommended category</x:v>
      </x:c>
      <x:c r="E1" s="65" t="str">
        <x:v>Attacker / fault actor</x:v>
      </x:c>
      <x:c r="F1" s="65" t="str">
        <x:v>Capabilities</x:v>
      </x:c>
      <x:c r="G1" s="65" t="str">
        <x:v>Preconditions</x:v>
      </x:c>
      <x:c r="H1" s="65" t="str">
        <x:v>Surfaces</x:v>
      </x:c>
      <x:c r="I1" s="65" t="str">
        <x:v>Mechanism</x:v>
      </x:c>
      <x:c r="J1" s="65" t="str">
        <x:v>Primary failure</x:v>
      </x:c>
      <x:c r="K1" s="65" t="str">
        <x:v>Impact</x:v>
      </x:c>
      <x:c r="L1" s="65" t="str">
        <x:v>Core coding correction</x:v>
      </x:c>
      <x:c r="M1" s="66"/>
      <x:c r="N1" s="66"/>
      <x:c r="O1" s="66"/>
      <x:c r="P1" s="66"/>
      <x:c r="Q1" s="66"/>
      <x:c r="R1" s="66"/>
      <x:c r="S1" s="66"/>
      <x:c r="T1" s="66"/>
      <x:c r="U1" s="66"/>
      <x:c r="V1" s="66"/>
      <x:c r="W1" s="66"/>
      <x:c r="X1" s="66"/>
      <x:c r="Y1" s="66"/>
      <x:c r="Z1" s="66"/>
    </x:row>
    <x:row r="2">
      <x:c r="A2" s="29" t="n">
        <x:v>1</x:v>
      </x:c>
      <x:c r="B2" s="29" t="str">
        <x:v>gu2024agent_smith</x:v>
      </x:c>
      <x:c r="C2" s="29" t="str">
        <x:v>attack</x:v>
      </x:c>
      <x:c r="D2" s="29" t="str">
        <x:v>attack; empirical study; theoretical analysis</x:v>
      </x:c>
      <x:c r="E2" s="29" t="str">
        <x:v>External adversary seeds one selected agent with one adversarial image.</x:v>
      </x:c>
      <x:c r="F2" s="29" t="str">
        <x:v>Seeds the initial memory item; no continued intervention is required under the modeled propagation process.</x:v>
      </x:c>
      <x:c r="G2" s="29" t="str">
        <x:v>Agents retrieve memory content and exchange it through randomized pairwise chats.</x:v>
      </x:c>
      <x:c r="H2" s="29" t="str">
        <x:v>Agent memory; pairwise inter-agent communication.</x:v>
      </x:c>
      <x:c r="I2" s="29" t="str">
        <x:v>Memory seeding followed by retention and retransmission of the adversarial behavior.</x:v>
      </x:c>
      <x:c r="J2" s="29" t="str">
        <x:v>F1 compromise propagation and containment failure.</x:v>
      </x:c>
      <x:c r="K2" s="29" t="str">
        <x:v>Population-level harmful or unaligned behavior. The one-million figure is simulated scale, not deployed prevalence.</x:v>
      </x:c>
      <x:c r="L2" s="29" t="str"/>
    </x:row>
    <x:row r="3">
      <x:c r="A3" s="29" t="n">
        <x:v>2</x:v>
      </x:c>
      <x:c r="B3" s="29" t="str">
        <x:v>motwani2024secret_collusion</x:v>
      </x:c>
      <x:c r="C3" s="29" t="str">
        <x:v>attack</x:v>
      </x:c>
      <x:c r="D3" s="29" t="str">
        <x:v>attack; defense evaluation; empirical study; theoretical analysis</x:v>
      </x:c>
      <x:c r="E3" s="29" t="str">
        <x:v>Two or more colluding agents communicating under an observer or monitor.</x:v>
      </x:c>
      <x:c r="F3" s="29" t="str">
        <x:v>Generate overt messages, encode and decode hidden payloads, and coordinate on a code or strategy.</x:v>
      </x:c>
      <x:c r="G3" s="29" t="str">
        <x:v>The observer sees overt traffic but lacks complete access to private knowledge, shared intent, or the covert code.</x:v>
      </x:c>
      <x:c r="H3" s="29" t="str">
        <x:v>Inter-agent communication; shared implicit knowledge; observer boundary.</x:v>
      </x:c>
      <x:c r="I3" s="29" t="str">
        <x:v>Steganographic encoding embedded in apparently innocuous communication.</x:v>
      </x:c>
      <x:c r="J3" s="29" t="str">
        <x:v>Oversight or monitorability integrity failure at claim level.</x:v>
      </x:c>
      <x:c r="K3" s="29" t="str">
        <x:v>Can also produce confidentiality loss or collective-decision corruption depending on the scenario. It should not be forced into one universal impact category.</x:v>
      </x:c>
      <x:c r="L3" s="29" t="str">
        <x:v>Use claim-level outcomes. Oversight, confidentiality, and decision integrity should not be collapsed into one paper-level label.</x:v>
      </x:c>
    </x:row>
    <x:row r="4">
      <x:c r="A4" s="29" t="n">
        <x:v>3</x:v>
      </x:c>
      <x:c r="B4" s="29" t="str">
        <x:v>men2025troublemaker</x:v>
      </x:c>
      <x:c r="C4" s="29" t="str">
        <x:v>attack</x:v>
      </x:c>
      <x:c r="D4" s="29" t="str">
        <x:v>attack; benchmark; evaluation</x:v>
      </x:c>
      <x:c r="E4" s="29" t="str">
        <x:v>One malicious member or troublemaker agent.</x:v>
      </x:c>
      <x:c r="F4" s="29" t="str">
        <x:v>Injects optimized retrieval and replication suffixes into messages or memory content that honest agents later retrieve and retransmit.</x:v>
      </x:c>
      <x:c r="G4" s="29" t="str">
        <x:v>Agents maintain independent memories and store and retrieve interaction content.</x:v>
      </x:c>
      <x:c r="H4" s="29" t="str">
        <x:v>Inter-agent messages; independent agent memories; communication topology.</x:v>
      </x:c>
      <x:c r="I4" s="29" t="str">
        <x:v>Adversarial retrieval and replication optimization creates a contagious jailbreak.</x:v>
      </x:c>
      <x:c r="J4" s="29" t="str">
        <x:v>F1 compromise propagation and containment failure.</x:v>
      </x:c>
      <x:c r="K4" s="29" t="str">
        <x:v>Population-wide jailbreak among previously honest agents.</x:v>
      </x:c>
      <x:c r="L4" s="29" t="str"/>
    </x:row>
    <x:row r="5">
      <x:c r="A5" s="29" t="n">
        <x:v>4</x:v>
      </x:c>
      <x:c r="B5" s="29" t="str">
        <x:v>cohen2025ai_worm</x:v>
      </x:c>
      <x:c r="C5" s="29" t="str">
        <x:v>attack</x:v>
      </x:c>
      <x:c r="D5" s="29" t="str">
        <x:v>attack; defense; ecosystem evaluation</x:v>
      </x:c>
      <x:c r="E5" s="29" t="str">
        <x:v>External sender who inserts a self-replicating prompt into an email or retrieved document.</x:v>
      </x:c>
      <x:c r="F5" s="29" t="str">
        <x:v>Places malicious content that automated applications ingest, reproduce, and forward.</x:v>
      </x:c>
      <x:c r="G5" s="29" t="str">
        <x:v>Applications automatically process inbound content and can emit generated content to downstream users or applications.</x:v>
      </x:c>
      <x:c r="H5" s="29" t="str">
        <x:v>Inbound email or RAG content; automated outbound messages; application-to-application workflow.</x:v>
      </x:c>
      <x:c r="I5" s="29" t="str">
        <x:v>Indirect prompt injection with self-replication through generated content.</x:v>
      </x:c>
      <x:c r="J5" s="29" t="str">
        <x:v>F1 propagation and containment failure.</x:v>
      </x:c>
      <x:c r="K5" s="29" t="str">
        <x:v>Confidentiality loss and availability effects can be secondary payloads.</x:v>
      </x:c>
      <x:c r="L5" s="29" t="str">
        <x:v>Downgrade from core_security to security_relevant under the independent LLM-agent-core boundary.</x:v>
      </x:c>
    </x:row>
    <x:row r="6">
      <x:c r="A6" s="29" t="n">
        <x:v>5</x:v>
      </x:c>
      <x:c r="B6" s="29" t="str">
        <x:v>ju2026flooding</x:v>
      </x:c>
      <x:c r="C6" s="29" t="str">
        <x:v>attack</x:v>
      </x:c>
      <x:c r="D6" s="29" t="str">
        <x:v>attack; evaluation</x:v>
      </x:c>
      <x:c r="E6" s="29" t="str">
        <x:v>Adversary manipulates an initial model or agent before deployment and introduces manipulated knowledge through persuasion and knowledge injection.</x:v>
      </x:c>
      <x:c r="F6" s="29" t="str">
        <x:v>Uses DPO or LoRA-style persuasion adaptation and ROME-style knowledge editing, then relies on interaction and stored histories for spread.</x:v>
      </x:c>
      <x:c r="G6" s="29" t="str">
        <x:v>Agents trust peer messages and may persist chat histories for later RAG retrieval.</x:v>
      </x:c>
      <x:c r="H6" s="29" t="str">
        <x:v>Agent model state; communication; chat history; RAG memory.</x:v>
      </x:c>
      <x:c r="I6" s="29" t="str">
        <x:v>Persuasiveness injection plus manipulated-knowledge injection followed by interaction-driven spread and persistence.</x:v>
      </x:c>
      <x:c r="J6" s="29" t="str">
        <x:v>F3 communication and shared-knowledge integrity failure.</x:v>
      </x:c>
      <x:c r="K6" s="29" t="str">
        <x:v>F1 containment and persistence failure is secondary.</x:v>
      </x:c>
      <x:c r="L6" s="29" t="str">
        <x:v>Do not describe this as only an external runtime message attacker; the attack includes predeployment model manipulation.</x:v>
      </x:c>
    </x:row>
    <x:row r="7">
      <x:c r="A7" s="29" t="n">
        <x:v>6</x:v>
      </x:c>
      <x:c r="B7" s="29" t="str">
        <x:v>wang2025gsafeguard</x:v>
      </x:c>
      <x:c r="C7" s="29" t="str">
        <x:v>attack</x:v>
      </x:c>
      <x:c r="D7" s="29" t="str">
        <x:v>defense; evaluation; attack analysis</x:v>
      </x:c>
      <x:c r="E7" s="29" t="str">
        <x:v>Adversary introduces prompt injection, misinformation, or malicious utterances that propagate over the agent graph.</x:v>
      </x:c>
      <x:c r="F7" s="29" t="str">
        <x:v>Influences utterances that enter the monitored graph.</x:v>
      </x:c>
      <x:c r="G7" s="29" t="str">
        <x:v>The defender can reconstruct the utterance graph and observe enough messages to score nodes and edges.</x:v>
      </x:c>
      <x:c r="H7" s="29" t="str">
        <x:v>Communication graph; utterances; topology; monitor and control plane.</x:v>
      </x:c>
      <x:c r="I7" s="29" t="str">
        <x:v>Attack propagation is evaluated, but the primary paper contribution is graph-based anomaly detection plus topology intervention.</x:v>
      </x:c>
      <x:c r="J7" s="29" t="str">
        <x:v>Claim-level F1, F3, or F4 depending on the evaluated attack. The paper itself should not receive one forced attack outcome.</x:v>
      </x:c>
      <x:c r="K7" s="29" t="str">
        <x:v>Collective task or safety degradation under evaluated attacks.</x:v>
      </x:c>
      <x:c r="L7" s="29" t="str">
        <x:v>Change from attack to defense/evaluation with attack analysis as a secondary role.</x:v>
      </x:c>
    </x:row>
    <x:row r="8">
      <x:c r="A8" s="29" t="n">
        <x:v>7</x:v>
      </x:c>
      <x:c r="B8" s="29" t="str">
        <x:v>yu2025netsafe</x:v>
      </x:c>
      <x:c r="C8" s="29" t="str">
        <x:v>attack</x:v>
      </x:c>
      <x:c r="D8" s="29" t="str">
        <x:v>benchmark; evaluation; topology analysis</x:v>
      </x:c>
      <x:c r="E8" s="29" t="str">
        <x:v>Malicious-query source or compromised interaction input in adversarial subsets.</x:v>
      </x:c>
      <x:c r="F8" s="29" t="str">
        <x:v>Introduces misinformation, bias, or harmful content that propagates and is aggregated.</x:v>
      </x:c>
      <x:c r="G8" s="29" t="str">
        <x:v>Agents iteratively exchange information according to a configured RelCom graph.</x:v>
      </x:c>
      <x:c r="H8" s="29" t="str">
        <x:v>Communication topology; iterative messages; aggregation.</x:v>
      </x:c>
      <x:c r="I8" s="29" t="str">
        <x:v>Topology-conditioned propagation and aggregation. Topology itself is an evaluation variable, not an attack mechanism.</x:v>
      </x:c>
      <x:c r="J8" s="29" t="str">
        <x:v>Claim-level F1 or F4 for adversarial subsets; adjacent reliability and fairness for other phenomena.</x:v>
      </x:c>
      <x:c r="K8" s="29" t="str">
        <x:v>Task-performance and safety degradation in evaluated settings.</x:v>
      </x:c>
      <x:c r="L8" s="29" t="str">
        <x:v>Change from attack to benchmark/evaluation. | Use claim-level screening; paper-level core_security overstates broad safety and reliability content.</x:v>
      </x:c>
    </x:row>
    <x:row r="9">
      <x:c r="A9" s="29" t="n">
        <x:v>8</x:v>
      </x:c>
      <x:c r="B9" s="29" t="str">
        <x:v>zhou2026corba</x:v>
      </x:c>
      <x:c r="C9" s="29" t="str">
        <x:v>attack</x:v>
      </x:c>
      <x:c r="D9" s="29" t="str">
        <x:v>attack; evaluation</x:v>
      </x:c>
      <x:c r="E9" s="29" t="str">
        <x:v>Source of a semantically benign recursive instruction.</x:v>
      </x:c>
      <x:c r="F9" s="29" t="str">
        <x:v>Introduces content that agents accept and recursively pass or act upon.</x:v>
      </x:c>
      <x:c r="G9" s="29" t="str">
        <x:v>Agents can initiate further messages or tasks for peers and lack a global collaboration budget.</x:v>
      </x:c>
      <x:c r="H9" s="29" t="str">
        <x:v>Inter-agent communication; delegation or invocation; topology; resource plane.</x:v>
      </x:c>
      <x:c r="I9" s="29" t="str">
        <x:v>Recursive contagious instructions create cycles of meaningless collaboration.</x:v>
      </x:c>
      <x:c r="J9" s="29" t="str">
        <x:v>F7 availability and resource boundedness failure.</x:v>
      </x:c>
      <x:c r="K9" s="29" t="str">
        <x:v>System paralysis and loss of useful collaboration. Contagion is a mechanism, not the primary failure label.</x:v>
      </x:c>
      <x:c r="L9" s="29" t="str">
        <x:v>Use availability/resource boundedness, not behavioral infection, as the primary failure.</x:v>
      </x:c>
    </x:row>
    <x:row r="10">
      <x:c r="A10" s="29" t="n">
        <x:v>9</x:v>
      </x:c>
      <x:c r="B10" s="29" t="str">
        <x:v>mathew2025hidden</x:v>
      </x:c>
      <x:c r="C10" s="29" t="str">
        <x:v>attack</x:v>
      </x:c>
      <x:c r="D10" s="29" t="str">
        <x:v>security evaluation; attack elicitation; defense evaluation</x:v>
      </x:c>
      <x:c r="E10" s="29" t="str">
        <x:v>Agents optimized under misspecified or adversarial incentives rather than a conventional external attacker.</x:v>
      </x:c>
      <x:c r="F10" s="29" t="str">
        <x:v>Learn linguistic encodings and decodings under GBRL or in-context reinforcement-learning elicitation.</x:v>
      </x:c>
      <x:c r="G10" s="29" t="str">
        <x:v>Reward favors task success and hidden information transfer while oversight penalizes observable evidence.</x:v>
      </x:c>
      <x:c r="H10" s="29" t="str">
        <x:v>Natural-language message channel; reward and training incentives; observer boundary.</x:v>
      </x:c>
      <x:c r="I10" s="29" t="str">
        <x:v>Learned linguistic steganography.</x:v>
      </x:c>
      <x:c r="J10" s="29" t="str">
        <x:v>Oversight or monitorability integrity failure.</x:v>
      </x:c>
      <x:c r="K10" s="29" t="str">
        <x:v>Hidden information transfer and prohibited coordination.</x:v>
      </x:c>
      <x:c r="L10" s="29" t="str">
        <x:v>Change from attack to mixed security evaluation and attack/defense elicitation.</x:v>
      </x:c>
    </x:row>
    <x:row r="11">
      <x:c r="A11" s="29" t="n">
        <x:v>10</x:v>
      </x:c>
      <x:c r="B11" s="29" t="str">
        <x:v>hu2026lying_truths</x:v>
      </x:c>
      <x:c r="C11" s="29" t="str">
        <x:v>attack</x:v>
      </x:c>
      <x:c r="D11" s="29" t="str">
        <x:v>attack; benchmark; evaluation</x:v>
      </x:c>
      <x:c r="E11" s="29" t="str">
        <x:v>Coalition of writer, editor, and director agents.</x:v>
      </x:c>
      <x:c r="F11" s="29" t="str">
        <x:v>Select, rewrite, order, and publicly post factual fragments and coordinate their narrative construction.</x:v>
      </x:c>
      <x:c r="G11" s="29" t="str">
        <x:v>Victims aggregate public posts, while message-level truth checks cannot reject individually factual fragments.</x:v>
      </x:c>
      <x:c r="H11" s="29" t="str">
        <x:v>Public multi-agent information channel; aggregation; provenance and cross-message context.</x:v>
      </x:c>
      <x:c r="I11" s="29" t="str">
        <x:v>Open-channel cognitive collusion through generative montage.</x:v>
      </x:c>
      <x:c r="J11" s="29" t="str">
        <x:v>F4 collective decision or belief integrity failure.</x:v>
      </x:c>
      <x:c r="K11" s="29" t="str">
        <x:v>Downstream propagation of a fabricated conclusion.</x:v>
      </x:c>
      <x:c r="L11" s="29" t="str">
        <x:v>Do not label the channel covert or the fragments false; the novelty is public composition of individually true fragments.</x:v>
      </x:c>
    </x:row>
    <x:row r="12">
      <x:c r="A12" s="29" t="n">
        <x:v>11</x:v>
      </x:c>
      <x:c r="B12" s="29" t="str">
        <x:v>huang2026whispering_agents</x:v>
      </x:c>
      <x:c r="C12" s="29" t="str">
        <x:v>attack</x:v>
      </x:c>
      <x:c r="D12" s="29" t="str">
        <x:v>protocol; evaluation; dual-use security</x:v>
      </x:c>
      <x:c r="E12" s="29" t="str">
        <x:v>Cooperating sender and receiver endpoints facing a passive traffic observer or warden.</x:v>
      </x:c>
      <x:c r="F12" s="29" t="str">
        <x:v>Choose storage, timing, and behavioral events and share protocol state or keys.</x:v>
      </x:c>
      <x:c r="G12" s="29" t="str">
        <x:v>Shared keys or protocol state, available channel, and a passive observer without endpoint compromise.</x:v>
      </x:c>
      <x:c r="H12" s="29" t="str">
        <x:v>Message content; event timing; behavioral metadata; global communication trace.</x:v>
      </x:c>
      <x:c r="I12" s="29" t="str">
        <x:v>Pi-CCAP encodes encrypted payload bits across storage, timing, and behavioral event dimensions.</x:v>
      </x:c>
      <x:c r="J12" s="29" t="str">
        <x:v>From a defender view, oversight or monitorability integrity. From a legitimate-user view, communication privacy is the protected property.</x:v>
      </x:c>
      <x:c r="K12" s="29" t="str">
        <x:v>Potential covert coordination. The construction itself is dual-use.</x:v>
      </x:c>
      <x:c r="L12" s="29" t="str">
        <x:v>Change from attack to dual-use protocol/evaluation. | Downgrade to security_relevant unless a claim explicitly uses the protocol for malicious coordination.</x:v>
      </x:c>
    </x:row>
    <x:row r="13">
      <x:c r="A13" s="29" t="n">
        <x:v>12</x:v>
      </x:c>
      <x:c r="B13" s="29" t="str">
        <x:v>wang2026masleak</x:v>
      </x:c>
      <x:c r="C13" s="29" t="str">
        <x:v>attack</x:v>
      </x:c>
      <x:c r="D13" s="29" t="str">
        <x:v>attack; benchmark; evaluation</x:v>
      </x:c>
      <x:c r="E13" s="29" t="str">
        <x:v>Remote black-box API user.</x:v>
      </x:c>
      <x:c r="F13" s="29" t="str">
        <x:v>Submits crafted queries and observes final outputs only.</x:v>
      </x:c>
      <x:c r="G13" s="29" t="str">
        <x:v>Internal agents may reveal, propagate, or retain proprietary information through orchestration.</x:v>
      </x:c>
      <x:c r="H13" s="29" t="str">
        <x:v>Public API; internal cross-agent communication; final output; architecture metadata.</x:v>
      </x:c>
      <x:c r="I13" s="29" t="str">
        <x:v>Worm-inspired black-box elicitation and cross-agent disclosure propagation.</x:v>
      </x:c>
      <x:c r="J13" s="29" t="str">
        <x:v>F2 cross-principal or system-IP confidentiality violation.</x:v>
      </x:c>
      <x:c r="K13" s="29" t="str">
        <x:v>Extraction of prompts, instructions, tools, agent count, and topology.</x:v>
      </x:c>
      <x:c r="L13" s="29" t="str"/>
    </x:row>
    <x:row r="14">
      <x:c r="A14" s="29" t="n">
        <x:v>13</x:v>
      </x:c>
      <x:c r="B14" s="29" t="str">
        <x:v>liu2026topology_memory</x:v>
      </x:c>
      <x:c r="C14" s="29" t="str">
        <x:v>attack</x:v>
      </x:c>
      <x:c r="D14" s="29" t="str">
        <x:v>benchmark; evaluation; attack study</x:v>
      </x:c>
      <x:c r="E14" s="29" t="str">
        <x:v>One malicious member agent targeting one private-memory holder.</x:v>
      </x:c>
      <x:c r="F14" s="29" t="str">
        <x:v>Participates in normal communication, solicits private data, observes topology-permitted messages, and accumulates information across rounds.</x:v>
      </x:c>
      <x:c r="G14" s="29" t="str">
        <x:v>Static known graph, one attacker and one target, synchronous text communication, synthetic PII.</x:v>
      </x:c>
      <x:c r="H14" s="29" t="str">
        <x:v>Private memory; inter-agent messages; topology; role placement.</x:v>
      </x:c>
      <x:c r="I14" s="29" t="str">
        <x:v>Repeated cooperative-looking solicitation and topology-mediated relay of private cues.</x:v>
      </x:c>
      <x:c r="J14" s="29" t="str">
        <x:v>F2 cross-principal confidentiality violation.</x:v>
      </x:c>
      <x:c r="K14" s="29" t="str">
        <x:v>Recovery and diffusion of private PII by an unauthorized participant.</x:v>
      </x:c>
      <x:c r="L14" s="29" t="str">
        <x:v>Change from attack to benchmark/evaluation with an attack study role.</x:v>
      </x:c>
    </x:row>
    <x:row r="15">
      <x:c r="A15" s="29" t="n">
        <x:v>14</x:v>
      </x:c>
      <x:c r="B15" s="29" t="str">
        <x:v>he2025communication_attacks</x:v>
      </x:c>
      <x:c r="C15" s="29" t="str">
        <x:v>attack</x:v>
      </x:c>
      <x:c r="D15" s="29" t="str">
        <x:v>attack; evaluation</x:v>
      </x:c>
      <x:c r="E15" s="29" t="str">
        <x:v>Agent-in-the-middle adversary on selected communication links.</x:v>
      </x:c>
      <x:c r="F15" s="29" t="str">
        <x:v>Intercepts and adaptively rewrites protocol-valid messages under role and format constraints.</x:v>
      </x:c>
      <x:c r="G15" s="29" t="str">
        <x:v>Access to selected message paths; endpoints trust messages without authenticated integrity protection.</x:v>
      </x:c>
      <x:c r="H15" s="29" t="str">
        <x:v>Inter-agent communication links; protocol-valid message content.</x:v>
      </x:c>
      <x:c r="I15" s="29" t="str">
        <x:v>Context-aware message interception and adaptive rewriting using reflection.</x:v>
      </x:c>
      <x:c r="J15" s="29" t="str">
        <x:v>F3 communication integrity failure.</x:v>
      </x:c>
      <x:c r="K15" s="29" t="str">
        <x:v>F4 collective task or decision integrity failure as a downstream consequence.</x:v>
      </x:c>
      <x:c r="L15" s="29" t="str">
        <x:v>Use message integrity as primary and collective task corruption as downstream impact.</x:v>
      </x:c>
    </x:row>
    <x:row r="16">
      <x:c r="A16" s="29" t="n">
        <x:v>15</x:v>
      </x:c>
      <x:c r="B16" s="29" t="str">
        <x:v>liu2025collective_manipulation</x:v>
      </x:c>
      <x:c r="C16" s="29" t="str">
        <x:v>attack</x:v>
      </x:c>
      <x:c r="D16" s="29" t="str">
        <x:v>attack; defense evaluation; empirical study</x:v>
      </x:c>
      <x:c r="E16" s="29" t="str">
        <x:v>External attacker with information about one target participant rather than the full collective.</x:v>
      </x:c>
      <x:c r="F16" s="29" t="str">
        <x:v>Constructs adversarial inputs for the target and simulates group interactions through a stubborn proxy.</x:v>
      </x:c>
      <x:c r="G16" s="29" t="str">
        <x:v>The targeted member participates in communication and can influence majority or consensus-like aggregation.</x:v>
      </x:c>
      <x:c r="H16" s="29" t="str">
        <x:v>Target-agent input; outgoing messages; collective aggregation.</x:v>
      </x:c>
      <x:c r="I16" s="29" t="str">
        <x:v>M-Spoiler optimizes a persistent adversarial influence using simulated group interactions.</x:v>
      </x:c>
      <x:c r="J16" s="29" t="str">
        <x:v>F4 collective task-decision integrity failure.</x:v>
      </x:c>
      <x:c r="K16" s="29" t="str">
        <x:v>Incorrect or attacker-chosen group answer.</x:v>
      </x:c>
      <x:c r="L16" s="29" t="str"/>
    </x:row>
    <x:row r="17">
      <x:c r="A17" s="29" t="n">
        <x:v>16</x:v>
      </x:c>
      <x:c r="B17" s="29" t="str">
        <x:v>zheng2026byzantine_reliability</x:v>
      </x:c>
      <x:c r="C17" s="29" t="str">
        <x:v>attack</x:v>
      </x:c>
      <x:c r="D17" s="29" t="str">
        <x:v>defense; evaluation; fault study</x:v>
      </x:c>
      <x:c r="E17" s="29" t="str">
        <x:v>Byzantine or faulty member agents repeatedly supplying a prescribed incorrect candidate answer.</x:v>
      </x:c>
      <x:c r="F17" s="29" t="str">
        <x:v>Send protocol-valid wrong answers through normal graph edges.</x:v>
      </x:c>
      <x:c r="G17" s="29" t="str">
        <x:v>Seven-node fixed graphs, trusted experiment controller and aggregation, and confidence probes used by CP-WBFT.</x:v>
      </x:c>
      <x:c r="H17" s="29" t="str">
        <x:v>Member messages; topology; collective aggregation.</x:v>
      </x:c>
      <x:c r="I17" s="29" t="str">
        <x:v>Faulty-answer propagation and confidence-weighted voting.</x:v>
      </x:c>
      <x:c r="J17" s="29" t="str">
        <x:v>F4 collective task-decision integrity failure.</x:v>
      </x:c>
      <x:c r="K17" s="29" t="str">
        <x:v>Wrong mathematical answer or unsafe classification.</x:v>
      </x:c>
      <x:c r="L17" s="29" t="str">
        <x:v>Change from attack to defense/evaluation/fault study.</x:v>
      </x:c>
    </x:row>
    <x:row r="18">
      <x:c r="A18" s="29" t="n">
        <x:v>17</x:v>
      </x:c>
      <x:c r="B18" s="29" t="str">
        <x:v>triedman2025malicious_code</x:v>
      </x:c>
      <x:c r="C18" s="29" t="str">
        <x:v>attack</x:v>
      </x:c>
      <x:c r="D18" s="29" t="str">
        <x:v>attack; evaluation</x:v>
      </x:c>
      <x:c r="E18" s="29" t="str">
        <x:v>External adversary controlling web, file, email, audio, or other untrusted content.</x:v>
      </x:c>
      <x:c r="F18" s="29" t="str">
        <x:v>Places indirect prompt injection that changes LLM-mediated routing or invocation decisions.</x:v>
      </x:c>
      <x:c r="G18" s="29" t="str">
        <x:v>Framework orchestrators use generated text or metadata to route among specialist agents and code-capable functions.</x:v>
      </x:c>
      <x:c r="H18" s="29" t="str">
        <x:v>Untrusted content; inter-agent messages; orchestration metadata; routing; tool invocation.</x:v>
      </x:c>
      <x:c r="I18" s="29" t="str">
        <x:v>Indirect prompt injection plus confused-deputy or control-flow laundering.</x:v>
      </x:c>
      <x:c r="J18" s="29" t="str">
        <x:v>F6 delegation, authority, and control-flow integrity failure.</x:v>
      </x:c>
      <x:c r="K18" s="29" t="str">
        <x:v>Unauthorized invocation, data exfiltration, or arbitrary code execution.</x:v>
      </x:c>
      <x:c r="L18" s="29" t="str">
        <x:v>Use authority/control-flow integrity as the failure and RCE or exfiltration as impact.</x:v>
      </x:c>
    </x:row>
    <x:row r="19">
      <x:c r="A19" s="29" t="n">
        <x:v>18</x:v>
      </x:c>
      <x:c r="B19" s="29" t="str">
        <x:v>arif2026conjunctive</x:v>
      </x:c>
      <x:c r="C19" s="29" t="str">
        <x:v>attack</x:v>
      </x:c>
      <x:c r="D19" s="29" t="str">
        <x:v>attack; evaluation</x:v>
      </x:c>
      <x:c r="E19" s="29" t="str">
        <x:v>Adversary controlling trigger placement and one remote-agent template while leaving model weights and the client agent unchanged.</x:v>
      </x:c>
      <x:c r="F19" s="29" t="str">
        <x:v>Places two fragments and relies on system routing to combine them.</x:v>
      </x:c>
      <x:c r="G19" s="29" t="str">
        <x:v>Star, chain, or DAG routing eventually joins the trigger and hidden template in one effective context.</x:v>
      </x:c>
      <x:c r="H19" s="29" t="str">
        <x:v>User query; remote-agent template; routing and provenance; local guards.</x:v>
      </x:c>
      <x:c r="I19" s="29" t="str">
        <x:v>Conjunctive activation of individually benign fragments.</x:v>
      </x:c>
      <x:c r="J19" s="29" t="str">
        <x:v>F3 communication, context, or action integrity failure.</x:v>
      </x:c>
      <x:c r="K19" s="29" t="str">
        <x:v>Harmful action or unsafe output. F6 authority integrity should be secondary only when an explicit privileged action or permission escalation is demonstrated.</x:v>
      </x:c>
      <x:c r="L19" s="29" t="str">
        <x:v>Use F3 context/action integrity as primary unless the source explicitly demonstrates privilege escalation.</x:v>
      </x:c>
    </x:row>
    <x:row r="20">
      <x:c r="A20" s="29" t="n">
        <x:v>19</x:v>
      </x:c>
      <x:c r="B20" s="29" t="str">
        <x:v>zhao2026parasites</x:v>
      </x:c>
      <x:c r="C20" s="29" t="str">
        <x:v>attack</x:v>
      </x:c>
      <x:c r="D20" s="29" t="str">
        <x:v>attack; measurement; ecosystem evaluation</x:v>
      </x:c>
      <x:c r="E20" s="29" t="str">
        <x:v>External adversary who plants content in a source later retrieved by a victim workflow.</x:v>
      </x:c>
      <x:c r="F20" s="29" t="str">
        <x:v>Publishes indirect prompts and relies on installed benign tools to ingest content, collect private data, and disclose it.</x:v>
      </x:c>
      <x:c r="G20" s="29" t="str">
        <x:v>The host lets untrusted retrieved instructions influence later privileged calls and does not enforce least privilege across the tool chain.</x:v>
      </x:c>
      <x:c r="H20" s="29" t="str">
        <x:v>External content; MCP servers and tools; cross-tool execution flow; host authorization.</x:v>
      </x:c>
      <x:c r="I20" s="29" t="str">
        <x:v>Parasitic ingestion, private-data collection, and disclosure through composition of legitimate tools.</x:v>
      </x:c>
      <x:c r="J20" s="29" t="str">
        <x:v>F6 least-privilege and authority integrity failure.</x:v>
      </x:c>
      <x:c r="K20" s="29" t="str">
        <x:v>F2 confidentiality loss through exfiltration.</x:v>
      </x:c>
      <x:c r="L20" s="29" t="str">
        <x:v>Downgrade from core_security to security_relevant under the independent-agent-core definition.</x:v>
      </x:c>
    </x:row>
    <x:row r="21">
      <x:c r="A21" s="29" t="n">
        <x:v>20</x:v>
      </x:c>
      <x:c r="B21" s="29" t="str">
        <x:v>li2026a2asecbench</x:v>
      </x:c>
      <x:c r="C21" s="29" t="str">
        <x:v>attack</x:v>
      </x:c>
      <x:c r="D21" s="29" t="str">
        <x:v>benchmark; evaluation; attack suite</x:v>
      </x:c>
      <x:c r="E21" s="29" t="str">
        <x:v>Malicious registered remote agent, spoofed AgentCard publisher, or adversarial A2A protocol peer.</x:v>
      </x:c>
      <x:c r="F21" s="29" t="str">
        <x:v>AgentCard spoofing, capability cloaking, cyclic delegation, half-open task flooding, agent-side request forgery, and artifact-triggered script injection.</x:v>
      </x:c>
      <x:c r="G21" s="29" t="str">
        <x:v>Protocol-valid discovery, task, request, and artifact interfaces and an adapter that preserves semantics across implementations.</x:v>
      </x:c>
      <x:c r="H21" s="29" t="str">
        <x:v>Registry and AgentCard; discovery; asynchronous task state; remote requests; returned artifacts.</x:v>
      </x:c>
      <x:c r="I21" s="29" t="str">
        <x:v>Protocol-logic abuse or supply-chain manipulation introduces and activates a malicious peer.</x:v>
      </x:c>
      <x:c r="J21" s="29" t="str">
        <x:v>Claim-level identity, confidentiality, integrity, or availability failures.</x:v>
      </x:c>
      <x:c r="K21" s="29" t="str">
        <x:v>Unsafe request handling, resource exhaustion, or artifact execution.</x:v>
      </x:c>
      <x:c r="L21" s="29" t="str">
        <x:v>Change from attack to benchmark/evaluation with an attack-suite role.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44" hidden="0" customWidth="1"/>
    <x:col min="4" max="4" width="42" hidden="0" customWidth="1"/>
    <x:col min="5" max="5" width="44" hidden="0" customWidth="1"/>
    <x:col min="6" max="6" width="48" hidden="0" customWidth="1"/>
    <x:col min="7" max="7" width="20" hidden="0" customWidth="1"/>
    <x:col min="8" max="8" width="42" hidden="0" customWidth="1"/>
    <x:col min="9" max="9" width="55" hidden="0" customWidth="1"/>
    <x:col min="10" max="10" width="60" hidden="0" customWidth="1"/>
    <x:col min="11" max="11" width="56" hidden="0" customWidth="1"/>
    <x:col min="12" max="12" width="58" hidden="0" customWidth="1"/>
  </x:cols>
  <x:sheetData>
    <x:row r="1" ht="34" customHeight="1">
      <x:c r="A1" s="65" t="str">
        <x:v>Priority</x:v>
      </x:c>
      <x:c r="B1" s="65" t="str">
        <x:v>Paper ID</x:v>
      </x:c>
      <x:c r="C1" s="65" t="str">
        <x:v>Configuration</x:v>
      </x:c>
      <x:c r="D1" s="65" t="str">
        <x:v>Topology / communication</x:v>
      </x:c>
      <x:c r="E1" s="65" t="str">
        <x:v>Baseline / ablation</x:v>
      </x:c>
      <x:c r="F1" s="65" t="str">
        <x:v>Metric</x:v>
      </x:c>
      <x:c r="G1" s="65" t="str">
        <x:v>Unit</x:v>
      </x:c>
      <x:c r="H1" s="65" t="str">
        <x:v>Denominator</x:v>
      </x:c>
      <x:c r="I1" s="65" t="str">
        <x:v>Result interpretation</x:v>
      </x:c>
      <x:c r="J1" s="65" t="str">
        <x:v>Evidence locator</x:v>
      </x:c>
      <x:c r="K1" s="65" t="str">
        <x:v>Author claim vs corpus interpretation</x:v>
      </x:c>
      <x:c r="L1" s="65" t="str">
        <x:v>Limitations / maturity</x:v>
      </x:c>
      <x:c r="M1" s="66"/>
      <x:c r="N1" s="66"/>
      <x:c r="O1" s="66"/>
      <x:c r="P1" s="66"/>
      <x:c r="Q1" s="66"/>
      <x:c r="R1" s="66"/>
      <x:c r="S1" s="66"/>
      <x:c r="T1" s="66"/>
      <x:c r="U1" s="66"/>
      <x:c r="V1" s="66"/>
      <x:c r="W1" s="66"/>
      <x:c r="X1" s="66"/>
      <x:c r="Y1" s="66"/>
      <x:c r="Z1" s="66"/>
    </x:row>
    <x:row r="2">
      <x:c r="A2" s="29" t="n">
        <x:v>1</x:v>
      </x:c>
      <x:c r="B2" s="29" t="str">
        <x:v>gu2024agent_smith</x:v>
      </x:c>
      <x:c r="C2" s="29" t="str">
        <x:v>LLaVA-1.5 agent population; randomized pairwise chats; simulated populations up to one million.</x:v>
      </x:c>
      <x:c r="D2" s="29" t="str">
        <x:v>Randomized pairwise interaction rather than a broad sweep of deployed topologies.</x:v>
      </x:c>
      <x:c r="E2" s="29" t="str">
        <x:v>Noninfectious adversarial inputs and modeled alternative settings; exact baseline details should be cited from the experiment section when used.</x:v>
      </x:c>
      <x:c r="F2" s="29" t="str">
        <x:v>Infected population and propagation behavior over interaction rounds.</x:v>
      </x:c>
      <x:c r="G2" s="29" t="str">
        <x:v>Agent and population.</x:v>
      </x:c>
      <x:c r="H2" s="29" t="str">
        <x:v>Population size, with infection status defined by the paper.</x:v>
      </x:c>
      <x:c r="I2" s="29" t="str">
        <x:v>The paper demonstrates rapid population spread from a single seeded agent under its simulated interaction model. Do not turn the title claim into a statement about real deployed systems.</x:v>
      </x:c>
      <x:c r="J2" s="29" t="str">
        <x:v>Official PMLR abstract and paper record; paper Abstract and Introduction, PDF pp. 1 to 2; threat formulation and propagation analysis, PDF pp. 1 to 3.</x:v>
      </x:c>
      <x:c r="K2" s="29" t="str">
        <x:v>The seeded-image attack and simulated spread are author claims. Labeling the outcome F1 and interpreting it as a containment failure are corpus interpretations.</x:v>
      </x:c>
      <x:c r="L2" s="29" t="str">
        <x:v>Proof-of-concept simulation; one principal model family; randomized pairwise interaction; no evidence of real-world prevalence; practical defense construction remains open. Evidence maturity: Archival peer-reviewed primary evidence.</x:v>
      </x:c>
    </x:row>
    <x:row r="3">
      <x:c r="A3" s="29" t="n">
        <x:v>2</x:v>
      </x:c>
      <x:c r="B3" s="29" t="str">
        <x:v>motwani2024secret_collusion</x:v>
      </x:c>
      <x:c r="C3" s="29" t="str">
        <x:v>Sender-receiver or multi-agent communication setups with an overseer and mitigation variants.</x:v>
      </x:c>
      <x:c r="D3" s="29" t="str">
        <x:v>Primarily communicating endpoints and monitored channels rather than broad population topology.</x:v>
      </x:c>
      <x:c r="E3" s="29" t="str">
        <x:v>Overt communication and mitigation variants such as monitoring, paraphrasing, and parameter optimization.</x:v>
      </x:c>
      <x:c r="F3" s="29" t="str">
        <x:v>Coordination success, covert communication success, detectability, task performance, and scenario-specific secrecy or coupling measures.</x:v>
      </x:c>
      <x:c r="G3" s="29" t="str">
        <x:v>Communication episode, group, or task depending on experiment.</x:v>
      </x:c>
      <x:c r="H3" s="29" t="str">
        <x:v>Experiment-specific trials; there is no single paper-wide ASR denominator.</x:v>
      </x:c>
      <x:c r="I3" s="29" t="str">
        <x:v>The paper formalizes and demonstrates secret collusion and evaluates limits of several mitigations. It does not establish deployment prevalence or universal undetectability.</x:v>
      </x:c>
      <x:c r="J3" s="29" t="str">
        <x:v>Abstract, PDF p. 1; definition and threat model in Sec. 3.1, approximately PDF p. 4; monitor and decentralized-AI setting in Sec. 4; empirical metrics and evaluations in Secs. 5 and 6; mitigation discussion in Sec. 7.</x:v>
      </x:c>
      <x:c r="K3" s="29" t="str">
        <x:v>The existence of the steganographic setup, metrics, and evaluated mitigations are author claims. Choosing oversight failure as the primary SoK property is a corpus interpretation.</x:v>
      </x:c>
      <x:c r="L3" s="29" t="str">
        <x:v>Capability elicitation rather than prevalence; mixed single-model and multi-agent setups; detectability depends on observer and channel assumptions; no universal defense conclusion. Evidence maturity: Archival peer-reviewed primary evidence.</x:v>
      </x:c>
    </x:row>
    <x:row r="4">
      <x:c r="A4" s="29" t="n">
        <x:v>3</x:v>
      </x:c>
      <x:c r="B4" s="29" t="str">
        <x:v>men2025troublemaker</x:v>
      </x:c>
      <x:c r="C4" s="29" t="str">
        <x:v>One attacker plus honest agents; line, star, and larger population settings, including a 100-agent experiment.</x:v>
      </x:c>
      <x:c r="D4" s="29" t="str">
        <x:v>Line, star, and other benchmarked structures; static experiment graphs.</x:v>
      </x:c>
      <x:c r="E4" s="29" t="str">
        <x:v>Prior jailbreak or nonoptimized variants described in the paper.</x:v>
      </x:c>
      <x:c r="F4" s="29" t="str">
        <x:v>ASR by round, maximum ASR over rounds, and rounds to reach a target ASR.</x:v>
      </x:c>
      <x:c r="G4" s="29" t="str">
        <x:v>Agent-question pair and interaction round.</x:v>
      </x:c>
      <x:c r="H4" s="29" t="str">
        <x:v>The paper defines the round metric over agent by question cases, then reports the maximum over rounds for its summary ASR.</x:v>
      </x:c>
      <x:c r="I4" s="29" t="str">
        <x:v>Reported improvements of 23.51%, 18.95%, and 52.93% are setting-specific values. Do not silently relabel them as percentage-point improvements.</x:v>
      </x:c>
      <x:c r="J4" s="29" t="str">
        <x:v>Abstract, PDF p. 1; metric definition in Sec. 2.2, approximately PDF p. 3; experiment tables for topology and large-scale settings; abstract and result tables for the reported improvements.</x:v>
      </x:c>
      <x:c r="K4" s="29" t="str">
        <x:v>Attack construction and results are author claims. Cross-paper denominator incompatibility is a corpus interpretation.</x:v>
      </x:c>
      <x:c r="L4" s="29" t="str">
        <x:v>Maximum reported population is 100 in the empirical benchmark; fixed topologies; multiple-choice style memory tasks; limited model and deployment diversity. Evidence maturity: Archival peer-reviewed primary evidence.</x:v>
      </x:c>
    </x:row>
    <x:row r="5">
      <x:c r="A5" s="29" t="n">
        <x:v>4</x:v>
      </x:c>
      <x:c r="B5" s="29" t="str">
        <x:v>cohen2025ai_worm</x:v>
      </x:c>
      <x:c r="C5" s="29" t="str">
        <x:v>End-to-end GenAI email assistant and RAG application ecosystem.</x:v>
      </x:c>
      <x:c r="D5" s="29" t="str">
        <x:v>Application and user communication chains rather than a canonical LLM-agent society topology.</x:v>
      </x:c>
      <x:c r="E5" s="29" t="str">
        <x:v>Benign, attack, and defense configurations in the final paper.</x:v>
      </x:c>
      <x:c r="F5" s="29" t="str">
        <x:v>Propagation behavior, payload success, and defense true-positive, false-positive, and latency measures.</x:v>
      </x:c>
      <x:c r="G5" s="29" t="str">
        <x:v>Application or client, propagation event, and detector decision.</x:v>
      </x:c>
      <x:c r="H5" s="29" t="str">
        <x:v>Final-paper evaluation trials and clients. Do not import denominators from the preprint without checking the final paper.</x:v>
      </x:c>
      <x:c r="I5" s="29" t="str">
        <x:v>Use the final CCS values and names. The final paper reports super-linear propagation, a 20-new-client behavior within 1 to 3 days in its modeled scenario, and DonkeyRail TPR 1.0, FPR 0.017, and latency 7.6 to 38.3 ms. Do not mix these with preprint values or the earlier Morris-II and Virtual Donkey names.</x:v>
      </x:c>
      <x:c r="J5" s="29" t="str">
        <x:v>Final ACM record and CCS paper; preprint retained only for lineage. Cite final tables for propagation and DonkeyRail values. The current note's abstract-only locators are insufficient for quantitative use.</x:v>
      </x:c>
      <x:c r="K5" s="29" t="str">
        <x:v>Zero-click self-replication and measured defense results are author claims. Classifying the ecosystem as security_relevant rather than strict core MAS is a corpus decision.</x:v>
      </x:c>
      <x:c r="L5" s="29" t="str">
        <x:v>Laboratory ecosystem; broader GenAI applications rather than strict agent cores; result and terminology changed across versions; no evidence of prevalence in deployed ecosystems. Evidence maturity: Archival peer-reviewed evidence, with a materially different earlier preprint.</x:v>
      </x:c>
    </x:row>
    <x:row r="6">
      <x:c r="A6" s="29" t="n">
        <x:v>5</x:v>
      </x:c>
      <x:c r="B6" s="29" t="str">
        <x:v>ju2026flooding</x:v>
      </x:c>
      <x:c r="C6" s="29" t="str">
        <x:v>Simulated LLM-agent communities with communication and optional RAG persistence.</x:v>
      </x:c>
      <x:c r="D6" s="29" t="str">
        <x:v>Community interaction settings; exact final-paper topology details must be recoded from the journal PDF.</x:v>
      </x:c>
      <x:c r="E6" s="29" t="str">
        <x:v>Attack variants and benign settings described in the final paper.</x:v>
      </x:c>
      <x:c r="F6" s="29" t="str">
        <x:v>Spread accuracy for counterfactual or toxic knowledge, interaction turns, agent-order or population effects, and RAG persistence.</x:v>
      </x:c>
      <x:c r="G6" s="29" t="str">
        <x:v>Agent response, knowledge item, or interaction turn depending on analysis.</x:v>
      </x:c>
      <x:c r="H6" s="29" t="str">
        <x:v>Must be copied from the final journal metric definitions and tables; the current record is too generic.</x:v>
      </x:c>
      <x:c r="I6" s="29" t="str">
        <x:v>The paper reports that manipulated knowledge can spread while preserving general capabilities and persist in retrieved histories. Exact numeric claims should wait for final-journal table verification.</x:v>
      </x:c>
      <x:c r="J6" s="29" t="str">
        <x:v>Abstract and Introduction, PDF pp. 1 to 2 of the accessible version; method in Sec. III; experiments in Sec. IV, especially the spread and RAG-persistence subsections. Recheck page and table numbers against the final journal PDF.</x:v>
      </x:c>
      <x:c r="K6" s="29" t="str">
        <x:v>The two-stage manipulation and persistence are author claims. The F3 primary label and F1 secondary label are corpus interpretations.</x:v>
      </x:c>
      <x:c r="L6" s="29" t="str">
        <x:v>Simulated community; predeployment model manipulation confounds a purely runtime attacker; static roles; final metadata and exact metric table locations remain unresolved. Evidence maturity: Peer-reviewed journal work, but canonical metadata and full-text locators are not yet frozen.</x:v>
      </x:c>
    </x:row>
    <x:row r="7">
      <x:c r="A7" s="29" t="n">
        <x:v>6</x:v>
      </x:c>
      <x:c r="B7" s="29" t="str">
        <x:v>wang2025gsafeguard</x:v>
      </x:c>
      <x:c r="C7" s="29" t="str">
        <x:v>Multiple LLM backbones, multi-agent workflows, scales, and graph-based attack settings.</x:v>
      </x:c>
      <x:c r="D7" s="29" t="str">
        <x:v>Dynamic utterance graph used as the analysis and intervention object.</x:v>
      </x:c>
      <x:c r="E7" s="29" t="str">
        <x:v>Mainstream safeguards and attack conditions evaluated by the paper.</x:v>
      </x:c>
      <x:c r="F7" s="29" t="str">
        <x:v>Detection or security outcome plus recovered task performance.</x:v>
      </x:c>
      <x:c r="G7" s="29" t="str">
        <x:v>Agent, graph, and task.</x:v>
      </x:c>
      <x:c r="H7" s="29" t="str">
        <x:v>Experiment-specific agents or tasks; record exact table definitions for each claim.</x:v>
      </x:c>
      <x:c r="I7" s="29" t="str">
        <x:v>The abstract reports more than 40% recovery under prompt injection in evaluated settings. This is an empirical result, not a universal or formal security guarantee.</x:v>
      </x:c>
      <x:c r="J7" s="29" t="str">
        <x:v>Abstract, PDF p. 1; method sections defining the utterance graph and graph-neural detector; experiment result tables for the recovery claim; intervention section for edge or topology changes.</x:v>
      </x:c>
      <x:c r="K7" s="29" t="str">
        <x:v>Graph construction, defense, and recovery are author claims. The observation that applicability depends on global graph access is a corpus interpretation derived from method inputs.</x:v>
      </x:c>
      <x:c r="L7" s="29" t="str">
        <x:v>Requires central or near-global graph visibility, stable identities or message mapping, and authority to change edges; learned detector distribution may not transfer; category should not be coded primarily as attack. Evidence maturity: Archival peer-reviewed primary defense evidence.</x:v>
      </x:c>
    </x:row>
    <x:row r="8">
      <x:c r="A8" s="29" t="n">
        <x:v>7</x:v>
      </x:c>
      <x:c r="B8" s="29" t="str">
        <x:v>yu2025netsafe</x:v>
      </x:c>
      <x:c r="C8" s="29" t="str">
        <x:v>Multiple workflows, graph connectivity levels, system sizes, and per-round interactions.</x:v>
      </x:c>
      <x:c r="D8" s="29" t="str">
        <x:v>RelCom abstraction with multiple graph structures and scales.</x:v>
      </x:c>
      <x:c r="E8" s="29" t="str">
        <x:v>Alternative topologies and benign versus attacked conditions.</x:v>
      </x:c>
      <x:c r="F8" s="29" t="str">
        <x:v>Per-agent and aggregate joint accuracy or safety outcomes by round and topology.</x:v>
      </x:c>
      <x:c r="G8" s="29" t="str">
        <x:v>Agent, round, and task.</x:v>
      </x:c>
      <x:c r="H8" s="29" t="str">
        <x:v>Per-agent or aggregate task cases as defined in each experiment.</x:v>
      </x:c>
      <x:c r="I8" s="29" t="str">
        <x:v>The reported 29.7% star-topology decrease is a relative task-performance decrease in a specific setting. It is not a universal severity figure or necessarily a percentage-point change.</x:v>
      </x:c>
      <x:c r="J8" s="29" t="str">
        <x:v>Abstract and framework, PDF pp. 1 to 3; result sections naming Agent Hallucination, Aggregation Safety, and Security Bottleneck; exact result table for the 29.7% setting; limitations section.</x:v>
      </x:c>
      <x:c r="K8" s="29" t="str">
        <x:v>RelCom, phenomena, and setting-specific numbers are author claims. Treating the artifact as benchmark/evaluation and splitting security from adjacent claims are corpus decisions.</x:v>
      </x:c>
      <x:c r="L8" s="29" t="str">
        <x:v>Authors note that RelCom may not capture system-specific designs and that privacy and security are not comprehensively covered; topology effects can interact with prompt, model, and compute changes. Evidence maturity: Archival peer-reviewed mixed safety and security evidence.</x:v>
      </x:c>
    </x:row>
    <x:row r="9">
      <x:c r="A9" s="29" t="n">
        <x:v>8</x:v>
      </x:c>
      <x:c r="B9" s="29" t="str">
        <x:v>zhou2026corba</x:v>
      </x:c>
      <x:c r="C9" s="29" t="str">
        <x:v>Multiple LLMs and communication topologies with interacting agents.</x:v>
      </x:c>
      <x:c r="D9" s="29" t="str">
        <x:v>Multiple static topologies, including random entry and repeated runs.</x:v>
      </x:c>
      <x:c r="E9" s="29" t="str">
        <x:v>Existing attacks and conventional content-level safety alignment.</x:v>
      </x:c>
      <x:c r="F9" s="29" t="str">
        <x:v>P-ASR and peak-blocking-turn style measures.</x:v>
      </x:c>
      <x:c r="G9" s="29" t="str">
        <x:v>Agent and interaction turn.</x:v>
      </x:c>
      <x:c r="H9" s="29" t="str">
        <x:v>P-ASR equals blocked agents divided by total agents in the network.</x:v>
      </x:c>
      <x:c r="I9" s="29" t="str">
        <x:v>CORBA produces denial of collaboration in evaluated settings and bypasses content guardrails because the recursive text can be semantically benign.</x:v>
      </x:c>
      <x:c r="J9" s="29" t="str">
        <x:v>Abstract and threat model, PDF p. 1 onward; metric definition and experiment tables, including topology results and repeated-run description; defense comparison section.</x:v>
      </x:c>
      <x:c r="K9" s="29" t="str">
        <x:v>DoC, CORBA, and P-ASR are author claims. Coding recursion as a mechanism and F7 as the primary property is a corpus interpretation.</x:v>
      </x:c>
      <x:c r="L9" s="29" t="str">
        <x:v>Small or static topologies; blocked-agent fraction and turns are proxies rather than monetary or token cost; no full recovery or post-incident cleanup evaluation. Evidence maturity: Archival peer-reviewed primary attack evidence.</x:v>
      </x:c>
    </x:row>
    <x:row r="10">
      <x:c r="A10" s="29" t="n">
        <x:v>9</x:v>
      </x:c>
      <x:c r="B10" s="29" t="str">
        <x:v>mathew2025hidden</x:v>
      </x:c>
      <x:c r="C10" s="29" t="str">
        <x:v>Sender-receiver agents, frontier LLMs, reward optimization, oversight and paraphrasing conditions.</x:v>
      </x:c>
      <x:c r="D10" s="29" t="str">
        <x:v>Primarily paired communication rather than broad multi-node topology.</x:v>
      </x:c>
      <x:c r="E10" s="29" t="str">
        <x:v>Passive oversight, active paraphrasing, and noncollusive or alternative elicitation conditions.</x:v>
      </x:c>
      <x:c r="F10" s="29" t="str">
        <x:v>Task Success, Decoding Success, Sender Task Success, Overseer Bypass Success, Collusion Success, and channel capacity.</x:v>
      </x:c>
      <x:c r="G10" s="29" t="str">
        <x:v>Communication episode or request.</x:v>
      </x:c>
      <x:c r="H10" s="29" t="str">
        <x:v>Task or episode trials defined per metric; there is no single universal ASR.</x:v>
      </x:c>
      <x:c r="I10" s="29" t="str">
        <x:v>The paper shows that the chosen optimization procedures can elicit steganographic communication and that tested oversight and paraphrasing are incomplete in those settings.</x:v>
      </x:c>
      <x:c r="J10" s="29" t="str">
        <x:v>Abstract and Introduction, PDF pp. 1 to 2; metric definitions around PDF p. 3; experiment and mitigation sections; limitations or discussion.</x:v>
      </x:c>
      <x:c r="K10" s="29" t="str">
        <x:v>The elicited behavior and metric results are author claims. Interpreting them as evidence about a global observation contract is a corpus synthesis.</x:v>
      </x:c>
      <x:c r="L10" s="29" t="str">
        <x:v>Model-organism and elicitation setting; not evidence of spontaneous deployment prevalence; simplified tasks; mitigation comparisons may use fixed or weaker monitors; no universal impossibility result. Evidence maturity: Archival peer-reviewed primary evidence.</x:v>
      </x:c>
    </x:row>
    <x:row r="11">
      <x:c r="A11" s="29" t="n">
        <x:v>10</x:v>
      </x:c>
      <x:c r="B11" s="29" t="str">
        <x:v>hu2026lying_truths</x:v>
      </x:c>
      <x:c r="C11" s="29" t="str">
        <x:v>Coalition attackers, victim belief agents, downstream judge agents, and 14 proprietary and open-weight model families.</x:v>
      </x:c>
      <x:c r="D11" s="29" t="str">
        <x:v>Fixed writer-editor-director attack pipeline plus victim and judge stages.</x:v>
      </x:c>
      <x:c r="E11" s="29" t="str">
        <x:v>Base prompts, reasoning variants, alternate constructions, and model families.</x:v>
      </x:c>
      <x:c r="F11" s="29" t="str">
        <x:v>Victim attack success and downstream deception rate.</x:v>
      </x:c>
      <x:c r="G11" s="29" t="str">
        <x:v>Rumor-event case or victim/judge decision.</x:v>
      </x:c>
      <x:c r="H11" s="29" t="str">
        <x:v>CoPHEME cases used in each evaluated split.</x:v>
      </x:c>
      <x:c r="I11" s="29" t="str">
        <x:v>The authors report peak victim ASR of 74.4% for proprietary and 70.6% for open-weight models, with downstream deception above 60% in evaluated settings.</x:v>
      </x:c>
      <x:c r="J11" s="29" t="str">
        <x:v>Secs. 1 and 3, PDF pp. 1 to 6 for threat and method; Sec. 4, PDF pp. 6 to 8 for CoPHEME; Sec. 5, PDF pp. 8 to 12 for main result and propagation tables.</x:v>
      </x:c>
      <x:c r="K11" s="29" t="str">
        <x:v>Open-channel truthful-fragment attack, role pipeline, dataset, and results are author claims. Labeling it F4 and using it as an observer-scope example are corpus interpretations.</x:v>
      </x:c>
      <x:c r="L11" s="29" t="str">
        <x:v>Fixed attack pipeline; curated rumor events; simulated open channel; no live open-agent network; model susceptibility results are setting-specific. Evidence maturity: Archival peer-reviewed primary attack evidence.</x:v>
      </x:c>
    </x:row>
    <x:row r="12">
      <x:c r="A12" s="29" t="n">
        <x:v>11</x:v>
      </x:c>
      <x:c r="B12" s="29" t="str">
        <x:v>huang2026whispering_agents</x:v>
      </x:c>
      <x:c r="C12" s="29" t="str">
        <x:v>Paired LLM endpoints under multiple channel combinations and passive wardens.</x:v>
      </x:c>
      <x:c r="D12" s="29" t="str">
        <x:v>Two communicating endpoints rather than a population topology.</x:v>
      </x:c>
      <x:c r="E12" s="29" t="str">
        <x:v>Single-dimension covert channels and benign conversations.</x:v>
      </x:c>
      <x:c r="F12" s="29" t="str">
        <x:v>Effective bits per round, total capacity, bit error or robustness, statistical AUC, and LLM-warden detection outcomes.</x:v>
      </x:c>
      <x:c r="G12" s="29" t="str">
        <x:v>Communication round, bit, or dialogue.</x:v>
      </x:c>
      <x:c r="H12" s="29" t="str">
        <x:v>Rounds or dialogue instances, depending on metric.</x:v>
      </x:c>
      <x:c r="I12" s="29" t="str">
        <x:v>Combined event channels improve usable capacity in tested settings and selected wardens remain weak. This does not establish general undetectability.</x:v>
      </x:c>
      <x:c r="J12" s="29" t="str">
        <x:v>Covert Event Channel Sec., PDF pp. 3 to 4 and Fig. 2; protocol design, PDF pp. 4 to 5 and Algorithm 1; capacity and robustness, PDF pp. 6 to 7 and Tables 1 to 2; invisibility evaluation, PDF pp. 7 to 8 and Fig. 3/Table 3; limitations, PDF p. 8.</x:v>
      </x:c>
      <x:c r="K12" s="29" t="str">
        <x:v>Channel construction, capacity, and evaluated wardens are author claims. Coding it as security_relevant and dual-use rather than a core attack is a corpus decision.</x:v>
      </x:c>
      <x:c r="L12" s="29" t="str">
        <x:v>Shared keys, passive adversary, selected models and topics, paired agents, no adaptive warden, no prevalence or universal-undetectability claim. Evidence maturity: Archival peer-reviewed protocol and evaluation evidence.</x:v>
      </x:c>
    </x:row>
    <x:row r="13">
      <x:c r="A13" s="29" t="n">
        <x:v>12</x:v>
      </x:c>
      <x:c r="B13" s="29" t="str">
        <x:v>wang2026masleak</x:v>
      </x:c>
      <x:c r="C13" s="29" t="str">
        <x:v>810 synthetic MAS applications plus selected Coze and CrewAI systems; 3 to 6 agents and five topologies in the synthetic corpus.</x:v>
      </x:c>
      <x:c r="D13" s="29" t="str">
        <x:v>Multiple generated architecture patterns and real platform cases.</x:v>
      </x:c>
      <x:c r="E13" s="29" t="str">
        <x:v>Extraction variants and component-specific baselines described in the paper.</x:v>
      </x:c>
      <x:c r="F13" s="29" t="str">
        <x:v>F1 for agent count, semantic or substring match for prompts and instructions, binary tool hit, graph-edit similarity for topology, and an extraction-rate aggregate over seven components.</x:v>
      </x:c>
      <x:c r="G13" s="29" t="str">
        <x:v>Application and protected component.</x:v>
      </x:c>
      <x:c r="H13" s="29" t="str">
        <x:v>Components or applications relevant to each metric. The aggregate ER is an average of seven component measures, not one universal ASR.</x:v>
      </x:c>
      <x:c r="I13" s="29" t="str">
        <x:v>The official abstract reports average success of 87% for prompts or instructions and 92% for architecture in most evaluated cases. Keep component-specific measures separate.</x:v>
      </x:c>
      <x:c r="J13" s="29" t="str">
        <x:v>Official USENIX record and arXiv full paper; abstract for black-box model and corpus size; method and metric sections for the seven measures; main tables for 87% and 92% results.</x:v>
      </x:c>
      <x:c r="K13" s="29" t="str">
        <x:v>Threat model, dataset, and component extraction results are author claims. Calling it cross-principal confidentiality is a corpus interpretation.</x:v>
      </x:c>
      <x:c r="L13" s="29" t="str">
        <x:v>Many applications are synthetic; selected platforms; potential defenses are discussed rather than comprehensively evaluated; architectural leakage and prompt leakage use different metrics. Evidence maturity: Archival peer-reviewed primary attack and benchmark evidence.</x:v>
      </x:c>
    </x:row>
    <x:row r="14">
      <x:c r="A14" s="29" t="n">
        <x:v>13</x:v>
      </x:c>
      <x:c r="B14" s="29" t="str">
        <x:v>liu2026topology_memory</x:v>
      </x:c>
      <x:c r="C14" s="29" t="str">
        <x:v>GPT-4o-mini and Llama-3.1-70B networks; 4, 5, or 6 agents; one target and one attacker; ten communication rounds.</x:v>
      </x:c>
      <x:c r="D14" s="29" t="str">
        <x:v>Complete, circle, chain, tree, star, and star-ring; varied attacker-target placement.</x:v>
      </x:c>
      <x:c r="E14" s="29" t="str">
        <x:v>Cross-topology, placement, agent-count, round-count, PII-category, and model comparisons.</x:v>
      </x:c>
      <x:c r="F14" s="29" t="str">
        <x:v>Exact-match-plus-LLM-inference leakage rate, ever-leaked entities, and temporal diffusion.</x:v>
      </x:c>
      <x:c r="G14" s="29" t="str">
        <x:v>PII entity and trace or configuration.</x:v>
      </x:c>
      <x:c r="H14" s="29" t="str">
        <x:v>Seeded protected PII entities or evaluated traces, as defined by each result.</x:v>
      </x:c>
      <x:c r="I14" s="29" t="str">
        <x:v>Dense graphs and central placements often leak more, while much leakage appears early. Absolute levels and some topology rankings vary by model and should not be universalized.</x:v>
      </x:c>
      <x:c r="J14" s="29" t="str">
        <x:v>Secs. 3.1 to 3.3, PDF pp. 3 to 6 and Fig. 1/Table 1 for state, roles, and six topologies; Sec. 4, PDF pp. 7 to 9, Tables 2 to 3 and Figs. 2 to 3 for leakage and temporal results; limitations, PDF p. 9.</x:v>
      </x:c>
      <x:c r="K14" s="29" t="str">
        <x:v>Topology setup, metrics, and reported trends are author claims. Assigning F2 as the primary property and indexing it as benchmark/evaluation are corpus decisions.</x:v>
      </x:c>
      <x:c r="L14" s="29" t="str">
        <x:v>Synthetic PII; fixed ten rounds; one attacker; text-only synchronous communication; six static topologies; LLM judge in metric pipeline. Evidence maturity: Archival peer-reviewed benchmark and evaluation evidence.</x:v>
      </x:c>
    </x:row>
    <x:row r="15">
      <x:c r="A15" s="29" t="n">
        <x:v>14</x:v>
      </x:c>
      <x:c r="B15" s="29" t="str">
        <x:v>he2025communication_attacks</x:v>
      </x:c>
      <x:c r="C15" s="29" t="str">
        <x:v>Multiple MAS frameworks, communication structures, roles, and application tasks.</x:v>
      </x:c>
      <x:c r="D15" s="29" t="str">
        <x:v>Chain, tree, complete, random, and framework-specific structures in evaluation.</x:v>
      </x:c>
      <x:c r="E15" s="29" t="str">
        <x:v>Communication-attack variants and direct or prior adversarial strategies.</x:v>
      </x:c>
      <x:c r="F15" s="29" t="str">
        <x:v>Whole-dataset ASR for targeted behavior or denial-of-service outcomes.</x:v>
      </x:c>
      <x:c r="G15" s="29" t="str">
        <x:v>Task instance.</x:v>
      </x:c>
      <x:c r="H15" s="29" t="str">
        <x:v>All evaluated dataset instances for a setting.</x:v>
      </x:c>
      <x:c r="I15" s="29" t="str">
        <x:v>The paper demonstrates cross-framework and cross-structure vulnerability in its evaluated tasks. Feasibility does not automatically transfer to authenticated or integrity-protected channels.</x:v>
      </x:c>
      <x:c r="J15" s="29" t="str">
        <x:v>Abstract and threat model, PDF pp. 1 to 3 and Fig. 1; metric definition in Sec. 4.1, approximately PDF p. 5; evaluation tables for framework, structure, and application results; limitations section.</x:v>
      </x:c>
      <x:c r="K15" s="29" t="str">
        <x:v>AiTM construction, ASR, and evaluated results are author claims. The authenticated-channel caveat and F3/F4 mapping are corpus interpretations.</x:v>
      </x:c>
      <x:c r="L15" s="29" t="str">
        <x:v>Black-box model access; selected frameworks and tasks; public subset of SoftwareDev; assumed message-path access; no universal claim for integrity-protected protocols. Evidence maturity: Archival peer-reviewed primary attack evidence.</x:v>
      </x:c>
    </x:row>
    <x:row r="16">
      <x:c r="A16" s="29" t="n">
        <x:v>15</x:v>
      </x:c>
      <x:c r="B16" s="29" t="str">
        <x:v>liu2025collective_manipulation</x:v>
      </x:c>
      <x:c r="C16" s="29" t="str">
        <x:v>Multiple LLM backbones and collaboration sizes, including experiments scaling to 101 agents.</x:v>
      </x:c>
      <x:c r="D16" s="29" t="str">
        <x:v>Communication and majority aggregation settings specified by the paper.</x:v>
      </x:c>
      <x:c r="E16" s="29" t="str">
        <x:v>Individual-target adversarial attacks without group-interaction simulation and evaluated mitigation variants.</x:v>
      </x:c>
      <x:c r="F16" s="29" t="str">
        <x:v>Targeted and untargeted collective attack success, transferability, and clean-task performance.</x:v>
      </x:c>
      <x:c r="G16" s="29" t="str">
        <x:v>Task and final group decision.</x:v>
      </x:c>
      <x:c r="H16" s="29" t="str">
        <x:v>Evaluated tasks across three seeds; targeted success uses all-agree for two agents or majority target output for larger groups.</x:v>
      </x:c>
      <x:c r="I16" s="29" t="str">
        <x:v>M-Spoiler outperforms attacks optimized only for the individual target in evaluated tasks and transfers under incomplete system knowledge.</x:v>
      </x:c>
      <x:c r="J16" s="29" t="str">
        <x:v>Threat model and incomplete-information game in Sec. 3, PDF pp. 3 to 5; stubborn proxy in Sec. 4, PDF pp. 5 to 7; main result tables in Sec. 5, PDF pp. 7 to 10; metric definition and three-seed reporting in evaluation.</x:v>
      </x:c>
      <x:c r="K16" s="29" t="str">
        <x:v>Threat model, method, and task decision results are author claims. The statement that this is not formal Byzantine agreement is a corpus interpretation based on the correctness predicate.</x:v>
      </x:c>
      <x:c r="L16" s="29" t="str">
        <x:v>Simplified collaboration and measurable-answer tasks; majority voting; open-ended systems less clear; no classical agreement, validity, or termination guarantee. Evidence maturity: Archival peer-reviewed primary attack evidence.</x:v>
      </x:c>
    </x:row>
    <x:row r="17">
      <x:c r="A17" s="29" t="n">
        <x:v>16</x:v>
      </x:c>
      <x:c r="B17" s="29" t="str">
        <x:v>zheng2026byzantine_reliability</x:v>
      </x:c>
      <x:c r="C17" s="29" t="str">
        <x:v>Seven nodes, six topologies, Byzantine count varied from one to six, GSM8K and XSTest.</x:v>
      </x:c>
      <x:c r="D17" s="29" t="str">
        <x:v>Six representative fixed network structures.</x:v>
      </x:c>
      <x:c r="E17" s="29" t="str">
        <x:v>Traditional deterministic nodes, unweighted aggregation, and prompt-level or hidden-state confidence variants.</x:v>
      </x:c>
      <x:c r="F17" s="29" t="str">
        <x:v>Task accuracy and reported reliability accuracy.</x:v>
      </x:c>
      <x:c r="G17" s="29" t="str">
        <x:v>Task instance under a fault configuration.</x:v>
      </x:c>
      <x:c r="H17" s="29" t="str">
        <x:v>GSM8K or XSTest examples in each experiment.</x:v>
      </x:c>
      <x:c r="I17" s="29" t="str">
        <x:v>The reported 85.7% fault rate corresponds to six of seven faulty nodes in an oracle-scored task-accuracy experiment. It is not a theorem exceeding the classical asynchronous Byzantine agreement bound.</x:v>
      </x:c>
      <x:c r="J17" s="29" t="str">
        <x:v>Pilot experiment, PDF pp. 2 to 3, Table 1 and Fig. 2; datasets and metrics, PDF pp. 2 and 5; method, PDF pp. 3 to 5 and Fig. 3; experimental setting, PDF p. 5 and Fig. 2/Table 2; result tables, PDF pp. 5 to 7.</x:v>
      </x:c>
      <x:c r="K17" s="29" t="str">
        <x:v>Seven-node experiments, CP-WBFT, and task accuracy are author claims. The explicit distinction from classical agreement, validity, and termination is a corpus interpretation.</x:v>
      </x:c>
      <x:c r="L17" s="29" t="str">
        <x:v>Two datasets; fixed seven-node graphs; trusted coordinator and confidence probe; task accuracy rather than formal consensus; no open membership or protocol theorem. Evidence maturity: Archival peer-reviewed evaluation and defense evidence.</x:v>
      </x:c>
    </x:row>
    <x:row r="18">
      <x:c r="A18" s="29" t="n">
        <x:v>17</x:v>
      </x:c>
      <x:c r="B18" s="29" t="str">
        <x:v>triedman2025malicious_code</x:v>
      </x:c>
      <x:c r="C18" s="29" t="str">
        <x:v>AutoGen, CrewAI, MetaGPT, and selected models and orchestrators in lab or container settings.</x:v>
      </x:c>
      <x:c r="D18" s="29" t="str">
        <x:v>Framework-specific orchestrated specialist-agent workflows.</x:v>
      </x:c>
      <x:c r="E18" s="29" t="str">
        <x:v>Direct and indirect prompt-injection baselines and framework-level mitigations.</x:v>
      </x:c>
      <x:c r="F18" s="29" t="str">
        <x:v>Trial-level attack success and successful unsafe or code invocation.</x:v>
      </x:c>
      <x:c r="G18" s="29" t="str">
        <x:v>Attack trial and framework/model configuration.</x:v>
      </x:c>
      <x:c r="H18" s="29" t="str">
        <x:v>Trials for each framework, model, and attack scenario.</x:v>
      </x:c>
      <x:c r="I18" s="29" t="str">
        <x:v>Setting-specific successes include high rates across several orchestrators and models. Every numeric claim must be copied from its exact table rather than summarized as universal arbitrary-code reliability.</x:v>
      </x:c>
      <x:c r="J18" s="29" t="str">
        <x:v>Abstract and Introduction, PDF pp. 1 to 2; attack design and system diagrams, PDF p. 2 onward; framework/model result tables; mitigation analysis.</x:v>
      </x:c>
      <x:c r="K18" s="29" t="str">
        <x:v>Control-flow hijacking and measured unsafe invocations are author claims. Classifying the system consequence as F6 authority integrity is a corpus interpretation.</x:v>
      </x:c>
      <x:c r="L18" s="29" t="str">
        <x:v>Three principal frameworks; selected models and orchestrators; enabled unsafe functions; laboratory or container deployment; exploitability depends strongly on routing architecture. Evidence maturity: Archival peer-reviewed primary attack evidence.</x:v>
      </x:c>
    </x:row>
    <x:row r="19">
      <x:c r="A19" s="29" t="n">
        <x:v>18</x:v>
      </x:c>
      <x:c r="B19" s="29" t="str">
        <x:v>arif2026conjunctive</x:v>
      </x:c>
      <x:c r="C19" s="29" t="str">
        <x:v>Client plus remote agents under star, chain, and DAG topologies.</x:v>
      </x:c>
      <x:c r="D19" s="29" t="str">
        <x:v>Star, chain, DAG.</x:v>
      </x:c>
      <x:c r="E19" s="29" t="str">
        <x:v>Clean, key-only, template-only, both-fragment, nonoptimized attacks, local guards, and tool restrictions.</x:v>
      </x:c>
      <x:c r="F19" s="29" t="str">
        <x:v>ASR and false activation across topologies and control conditions.</x:v>
      </x:c>
      <x:c r="G19" s="29" t="str">
        <x:v>Attack scenario or routed task.</x:v>
      </x:c>
      <x:c r="H19" s="29" t="str">
        <x:v>Evaluated scenarios for each topology and fragment condition.</x:v>
      </x:c>
      <x:c r="I19" s="29" t="str">
        <x:v>Routing-aware optimization improves attack success while maintaining low false activation in evaluated configurations.</x:v>
      </x:c>
      <x:c r="J19" s="29" t="str">
        <x:v>Abstract, PDF p. 1; threat model and routing composition, PDF p. 1 onward; experimental tables for clean, single-fragment, and combined conditions; topology tables for star, chain, and DAG.</x:v>
      </x:c>
      <x:c r="K19" s="29" t="str">
        <x:v>Two-fragment construction, attacker constraints, topologies, and metrics are author claims. F3 versus F6 classification is a corpus judgment.</x:v>
      </x:c>
      <x:c r="L19" s="29" t="str">
        <x:v>Bounded static topologies; abstracted or probabilistic routing; selected guards; no production router, dynamic membership, or broad authorization model. Evidence maturity: Archival peer-reviewed primary attack evidence.</x:v>
      </x:c>
    </x:row>
    <x:row r="20">
      <x:c r="A20" s="29" t="n">
        <x:v>19</x:v>
      </x:c>
      <x:c r="B20" s="29" t="str">
        <x:v>zhao2026parasites</x:v>
      </x:c>
      <x:c r="C20" s="29" t="str">
        <x:v>1,360 public MCP servers containing 12,230 tools, plus end-to-end demonstrations across selected LLM hosts.</x:v>
      </x:c>
      <x:c r="D20" s="29" t="str">
        <x:v>Host-tool and server composition graph rather than a multi-agent population graph.</x:v>
      </x:c>
      <x:c r="E20" s="29" t="str">
        <x:v>Component-level security analysis, traditional prompt-injection framing, and end-to-end attack variants.</x:v>
      </x:c>
      <x:c r="F20" s="29" t="str">
        <x:v>Capability-gadget prevalence and separately measured end-to-end attack success.</x:v>
      </x:c>
      <x:c r="G20" s="29" t="str">
        <x:v>Tool, server, or end-to-end exploit chain.</x:v>
      </x:c>
      <x:c r="H20" s="29" t="str">
        <x:v>12,230 tools and 1,360 servers for the census; separate trial denominators for demonstrations.</x:v>
      </x:c>
      <x:c r="I20" s="29" t="str">
        <x:v>The census identifies 1,062 tools and 370 servers with capabilities relevant to the modeled attack. This is not the same as successful exploitation of all those tools or servers.</x:v>
      </x:c>
      <x:c r="J20" s="29" t="str">
        <x:v>Abstract and attack workflow, PDF p. 1 onward; attack stages in Secs. 2 to 3; census methods and tables; result tables for 1,062 tools and 370 servers; final IEEE metadata record.</x:v>
      </x:c>
      <x:c r="K20" s="29" t="str">
        <x:v>Tool and server census and demonstrated attack chains are author claims. Scope downgrade and F6/F2 mapping are corpus interpretations.</x:v>
      </x:c>
      <x:c r="L20" s="29" t="str">
        <x:v>Host-tool rather than strict multi-agent boundary; public registry sampling; inaccessible servers and token barriers; LLM-assisted classification plus manual checks; capability presence is not exploit prevalence. Evidence maturity: Archival peer-reviewed systems-security evidence, adjacent to strict LLM-MAS scope.</x:v>
      </x:c>
    </x:row>
    <x:row r="21">
      <x:c r="A21" s="29" t="n">
        <x:v>20</x:v>
      </x:c>
      <x:c r="B21" s="29" t="str">
        <x:v>li2026a2asecbench</x:v>
      </x:c>
      <x:c r="C21" s="29" t="str">
        <x:v>Official A2A demos in travel, healthcare, and finance through a dynamic adapter; deterministic offline and optional LLM-backed SUTs in the released repository.</x:v>
      </x:c>
      <x:c r="D21" s="29" t="str">
        <x:v>Client-to-remote-agent A2A interactions and task lifecycle rather than a generic graph benchmark.</x:v>
      </x:c>
      <x:c r="E21" s="29" t="str">
        <x:v>Matched benign controls and default safeguard behavior; release includes deterministic offline baselines.</x:v>
      </x:c>
      <x:c r="F21" s="29" t="str">
        <x:v>Attack or safety outcome plus benign utility or helpfulness; Capability Cloaking also reports label accuracy and evidence quality.</x:v>
      </x:c>
      <x:c r="G21" s="29" t="str">
        <x:v>Benchmark case and SUT trial.</x:v>
      </x:c>
      <x:c r="H21" s="29" t="str">
        <x:v>Repository release includes 100 AgentCard Spoofing cases and 100 cases for each Capability Cloaking split; other executable families have attack cases and matched controls.</x:v>
      </x:c>
      <x:c r="I21" s="29" t="str">
        <x:v>Official materials state that the six attack families bypass default safeguards in evaluated demos. Exact paper table values and full denominators must be copied from the final PDF before any quantitative manuscript claim.</x:v>
      </x:c>
      <x:c r="J21" s="29" t="str">
        <x:v>Official ICLR 2026 poster record; project README for the seven listed benchmark rows, release-case counts, matched controls, deterministic baselines, and output schema. Exact paper page and table references remain unresolved.</x:v>
      </x:c>
      <x:c r="K21" s="29" t="str">
        <x:v>Benchmark attacks, release structure, and official program status are author or official-project claims. Taxonomic mapping is a corpus interpretation.</x:v>
      </x:c>
      <x:c r="L21" s="29" t="str">
        <x:v>Official demo set and three domains; adapter semantics; full paper locators unavailable in this audit; no DOI; not all A2A stacks or deployment policies are covered. Evidence maturity: Archival peer-reviewed benchmark, but exact full-text evidence locators still require manual author access.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48" hidden="0" customWidth="1"/>
    <x:col min="4" max="4" width="12" hidden="0" customWidth="1"/>
    <x:col min="5" max="5" width="24" hidden="0" customWidth="1"/>
    <x:col min="6" max="6" width="68" hidden="0" customWidth="1"/>
    <x:col min="7" max="7" width="26" hidden="0" customWidth="1"/>
    <x:col min="8" max="8" width="38" hidden="0" customWidth="1"/>
  </x:cols>
  <x:sheetData>
    <x:row r="1" ht="32" customHeight="1">
      <x:c r="A1" s="65" t="str">
        <x:v>Priority</x:v>
      </x:c>
      <x:c r="B1" s="65" t="str">
        <x:v>Paper ID</x:v>
      </x:c>
      <x:c r="C1" s="65" t="str">
        <x:v>Paper title</x:v>
      </x:c>
      <x:c r="D1" s="65" t="str">
        <x:v>Severity</x:v>
      </x:c>
      <x:c r="E1" s="65" t="str">
        <x:v>Field</x:v>
      </x:c>
      <x:c r="F1" s="65" t="str">
        <x:v>Required correction</x:v>
      </x:c>
      <x:c r="G1" s="65" t="str">
        <x:v>Review outcome</x:v>
      </x:c>
      <x:c r="H1" s="65" t="str">
        <x:v>Source URL</x:v>
      </x:c>
      <x:c r="I1" s="66"/>
      <x:c r="J1" s="66"/>
      <x:c r="K1" s="66"/>
      <x:c r="L1" s="66"/>
      <x:c r="M1" s="66"/>
      <x:c r="N1" s="66"/>
      <x:c r="O1" s="66"/>
      <x:c r="P1" s="66"/>
      <x:c r="Q1" s="66"/>
      <x:c r="R1" s="66"/>
      <x:c r="S1" s="66"/>
      <x:c r="T1" s="66"/>
      <x:c r="U1" s="66"/>
      <x:c r="V1" s="66"/>
      <x:c r="W1" s="66"/>
      <x:c r="X1" s="66"/>
      <x:c r="Y1" s="66"/>
      <x:c r="Z1" s="66"/>
    </x:row>
    <x:row r="2">
      <x:c r="A2" s="29" t="n">
        <x:v>1</x:v>
      </x:c>
      <x:c r="B2" s="29" t="str">
        <x:v>gu2024agent_smith</x:v>
      </x:c>
      <x:c r="C2" s="29" t="str">
        <x:v>Agent Smith: A Single Image Can Jailbreak One Million Multimodal LLM Agents Exponentially Fast</x:v>
      </x:c>
      <x:c r="D2" s="29" t="str">
        <x:v>medium</x:v>
      </x:c>
      <x:c r="E2" s="29" t="str">
        <x:v>Result wording</x:v>
      </x:c>
      <x:c r="F2" s="29" t="str">
        <x:v>Do not equate one million simulated agents with a real deployment or prevalence claim.</x:v>
      </x:c>
      <x:c r="G2" s="29" t="str">
        <x:v>Ready after minor patch</x:v>
      </x:c>
      <x:c r="H2" s="29" t="str">
        <x:v>https://proceedings.mlr.press/v235/gu24e.html</x:v>
      </x:c>
    </x:row>
    <x:row r="3">
      <x:c r="A3" s="29" t="n">
        <x:v>1</x:v>
      </x:c>
      <x:c r="B3" s="29" t="str">
        <x:v>gu2024agent_smith</x:v>
      </x:c>
      <x:c r="C3" s="29" t="str">
        <x:v>Agent Smith: A Single Image Can Jailbreak One Million Multimodal LLM Agents Exponentially Fast</x:v>
      </x:c>
      <x:c r="D3" s="29" t="str">
        <x:v>medium</x:v>
      </x:c>
      <x:c r="E3" s="29" t="str">
        <x:v>Evidence locator</x:v>
      </x:c>
      <x:c r="F3" s="29" t="str">
        <x:v>Replace broad abstract-only locator with exact propagation-analysis pages before citing a specific round or growth constant.</x:v>
      </x:c>
      <x:c r="G3" s="29" t="str">
        <x:v>Ready after minor patch</x:v>
      </x:c>
      <x:c r="H3" s="29" t="str">
        <x:v>https://proceedings.mlr.press/v235/gu24e.html</x:v>
      </x:c>
    </x:row>
    <x:row r="4">
      <x:c r="A4" s="29" t="n">
        <x:v>2</x:v>
      </x:c>
      <x:c r="B4" s="29" t="str">
        <x:v>motwani2024secret_collusion</x:v>
      </x:c>
      <x:c r="C4" s="29" t="str">
        <x:v>Secret Collusion among AI Agents: Multi-Agent Deception via Steganography</x:v>
      </x:c>
      <x:c r="D4" s="29" t="str">
        <x:v>medium</x:v>
      </x:c>
      <x:c r="E4" s="29" t="str">
        <x:v>Primary failure</x:v>
      </x:c>
      <x:c r="F4" s="29" t="str">
        <x:v>Use claim-level outcomes. Oversight, confidentiality, and decision integrity should not be collapsed into one paper-level label.</x:v>
      </x:c>
      <x:c r="G4" s="29" t="str">
        <x:v>Ready after minor patch</x:v>
      </x:c>
      <x:c r="H4" s="29" t="str">
        <x:v>https://proceedings.neurips.cc/paper_files/paper/2024/hash/861f7dad098aec1c3560fb7add468d41-Abstract-Conference.html</x:v>
      </x:c>
    </x:row>
    <x:row r="5">
      <x:c r="A5" s="29" t="n">
        <x:v>2</x:v>
      </x:c>
      <x:c r="B5" s="29" t="str">
        <x:v>motwani2024secret_collusion</x:v>
      </x:c>
      <x:c r="C5" s="29" t="str">
        <x:v>Secret Collusion among AI Agents: Multi-Agent Deception via Steganography</x:v>
      </x:c>
      <x:c r="D5" s="29" t="str">
        <x:v>medium</x:v>
      </x:c>
      <x:c r="E5" s="29" t="str">
        <x:v>Metric coding</x:v>
      </x:c>
      <x:c r="F5" s="29" t="str">
        <x:v>Record each metric and denominator separately rather than a generic covert-communication ASR.</x:v>
      </x:c>
      <x:c r="G5" s="29" t="str">
        <x:v>Ready after minor patch</x:v>
      </x:c>
      <x:c r="H5" s="29" t="str">
        <x:v>https://proceedings.neurips.cc/paper_files/paper/2024/hash/861f7dad098aec1c3560fb7add468d41-Abstract-Conference.html</x:v>
      </x:c>
    </x:row>
    <x:row r="6">
      <x:c r="A6" s="29" t="n">
        <x:v>3</x:v>
      </x:c>
      <x:c r="B6" s="29" t="str">
        <x:v>men2025troublemaker</x:v>
      </x:c>
      <x:c r="C6" s="29" t="str">
        <x:v>A Troublemaker with Contagious Jailbreak Makes Chaos in Honest Towns</x:v>
      </x:c>
      <x:c r="D6" s="29" t="str">
        <x:v>high</x:v>
      </x:c>
      <x:c r="E6" s="29" t="str">
        <x:v>Metric denominator</x:v>
      </x:c>
      <x:c r="F6" s="29" t="str">
        <x:v>Replace generic attack success with the paper's agent-question and round-specific definition.</x:v>
      </x:c>
      <x:c r="G6" s="29" t="str">
        <x:v>Ready after minor patch</x:v>
      </x:c>
      <x:c r="H6" s="29" t="str">
        <x:v>https://aclanthology.org/2025.acl-long.859/</x:v>
      </x:c>
    </x:row>
    <x:row r="7">
      <x:c r="A7" s="29" t="n">
        <x:v>3</x:v>
      </x:c>
      <x:c r="B7" s="29" t="str">
        <x:v>men2025troublemaker</x:v>
      </x:c>
      <x:c r="C7" s="29" t="str">
        <x:v>A Troublemaker with Contagious Jailbreak Makes Chaos in Honest Towns</x:v>
      </x:c>
      <x:c r="D7" s="29" t="str">
        <x:v>medium</x:v>
      </x:c>
      <x:c r="E7" s="29" t="str">
        <x:v>Result wording</x:v>
      </x:c>
      <x:c r="F7" s="29" t="str">
        <x:v>Report the three improvements exactly as authors report them; do not call them percentage points without table support.</x:v>
      </x:c>
      <x:c r="G7" s="29" t="str">
        <x:v>Ready after minor patch</x:v>
      </x:c>
      <x:c r="H7" s="29" t="str">
        <x:v>https://aclanthology.org/2025.acl-long.859/</x:v>
      </x:c>
    </x:row>
    <x:row r="8">
      <x:c r="A8" s="29" t="n">
        <x:v>4</x:v>
      </x:c>
      <x:c r="B8" s="29" t="str">
        <x:v>cohen2025ai_worm</x:v>
      </x:c>
      <x:c r="C8" s="29" t="str">
        <x:v>Here Comes the AI Worm: Preventing the Propagation of Adversarial Self-Replicating Prompts Within GenAI Ecosystems</x:v>
      </x:c>
      <x:c r="D8" s="29" t="str">
        <x:v>critical</x:v>
      </x:c>
      <x:c r="E8" s="29" t="str">
        <x:v>Canonical version</x:v>
      </x:c>
      <x:c r="F8" s="29" t="str">
        <x:v>Replace preprint title and Morris-II terminology with the final CCS title and final names; retain the preprint only as a linked version.</x:v>
      </x:c>
      <x:c r="G8" s="29" t="str">
        <x:v>Ready after major patch</x:v>
      </x:c>
      <x:c r="H8" s="29" t="str">
        <x:v>https://doi.org/10.1145/3719027.3765196</x:v>
      </x:c>
    </x:row>
    <x:row r="9">
      <x:c r="A9" s="29" t="n">
        <x:v>4</x:v>
      </x:c>
      <x:c r="B9" s="29" t="str">
        <x:v>cohen2025ai_worm</x:v>
      </x:c>
      <x:c r="C9" s="29" t="str">
        <x:v>Here Comes the AI Worm: Preventing the Propagation of Adversarial Self-Replicating Prompts Within GenAI Ecosystems</x:v>
      </x:c>
      <x:c r="D9" s="29" t="str">
        <x:v>critical</x:v>
      </x:c>
      <x:c r="E9" s="29" t="str">
        <x:v>Metrics</x:v>
      </x:c>
      <x:c r="F9" s="29" t="str">
        <x:v>Use final-paper FPR 0.017 and final latency/result tables. Do not mix preprint FPR 0.015.</x:v>
      </x:c>
      <x:c r="G9" s="29" t="str">
        <x:v>Ready after major patch</x:v>
      </x:c>
      <x:c r="H9" s="29" t="str">
        <x:v>https://doi.org/10.1145/3719027.3765196</x:v>
      </x:c>
    </x:row>
    <x:row r="10">
      <x:c r="A10" s="29" t="n">
        <x:v>4</x:v>
      </x:c>
      <x:c r="B10" s="29" t="str">
        <x:v>cohen2025ai_worm</x:v>
      </x:c>
      <x:c r="C10" s="29" t="str">
        <x:v>Here Comes the AI Worm: Preventing the Propagation of Adversarial Self-Replicating Prompts Within GenAI Ecosystems</x:v>
      </x:c>
      <x:c r="D10" s="29" t="str">
        <x:v>high</x:v>
      </x:c>
      <x:c r="E10" s="29" t="str">
        <x:v>Scope relation</x:v>
      </x:c>
      <x:c r="F10" s="29" t="str">
        <x:v>Downgrade from core_security to security_relevant under the independent LLM-agent-core boundary.</x:v>
      </x:c>
      <x:c r="G10" s="29" t="str">
        <x:v>Ready after major patch</x:v>
      </x:c>
      <x:c r="H10" s="29" t="str">
        <x:v>https://doi.org/10.1145/3719027.3765196</x:v>
      </x:c>
    </x:row>
    <x:row r="11">
      <x:c r="A11" s="29" t="n">
        <x:v>5</x:v>
      </x:c>
      <x:c r="B11" s="29" t="str">
        <x:v>ju2026flooding</x:v>
      </x:c>
      <x:c r="C11" s="29" t="str">
        <x:v>Flooding Spread of Manipulated Knowledge in LLM-Based Multi-Agent Communities</x:v>
      </x:c>
      <x:c r="D11" s="29" t="str">
        <x:v>critical</x:v>
      </x:c>
      <x:c r="E11" s="29" t="str">
        <x:v>Author list</x:v>
      </x:c>
      <x:c r="F11" s="29" t="str">
        <x:v>Resolve the final journal author list from the publisher PDF before updating papers.csv.</x:v>
      </x:c>
      <x:c r="G11" s="29" t="str">
        <x:v>Pending final source verification</x:v>
      </x:c>
      <x:c r="H11" s="29" t="str">
        <x:v>https://doi.org/10.1007/s11432-024-4663-2</x:v>
      </x:c>
    </x:row>
    <x:row r="12">
      <x:c r="A12" s="29" t="n">
        <x:v>5</x:v>
      </x:c>
      <x:c r="B12" s="29" t="str">
        <x:v>ju2026flooding</x:v>
      </x:c>
      <x:c r="C12" s="29" t="str">
        <x:v>Flooding Spread of Manipulated Knowledge in LLM-Based Multi-Agent Communities</x:v>
      </x:c>
      <x:c r="D12" s="29" t="str">
        <x:v>critical</x:v>
      </x:c>
      <x:c r="E12" s="29" t="str">
        <x:v>Evidence locators</x:v>
      </x:c>
      <x:c r="F12" s="29" t="str">
        <x:v>Replace accessible-version locators with final journal page and table locations.</x:v>
      </x:c>
      <x:c r="G12" s="29" t="str">
        <x:v>Pending final source verification</x:v>
      </x:c>
      <x:c r="H12" s="29" t="str">
        <x:v>https://doi.org/10.1007/s11432-024-4663-2</x:v>
      </x:c>
    </x:row>
    <x:row r="13">
      <x:c r="A13" s="29" t="n">
        <x:v>5</x:v>
      </x:c>
      <x:c r="B13" s="29" t="str">
        <x:v>ju2026flooding</x:v>
      </x:c>
      <x:c r="C13" s="29" t="str">
        <x:v>Flooding Spread of Manipulated Knowledge in LLM-Based Multi-Agent Communities</x:v>
      </x:c>
      <x:c r="D13" s="29" t="str">
        <x:v>high</x:v>
      </x:c>
      <x:c r="E13" s="29" t="str">
        <x:v>Attacker model</x:v>
      </x:c>
      <x:c r="F13" s="29" t="str">
        <x:v>Do not describe this as only an external runtime message attacker; the attack includes predeployment model manipulation.</x:v>
      </x:c>
      <x:c r="G13" s="29" t="str">
        <x:v>Pending final source verification</x:v>
      </x:c>
      <x:c r="H13" s="29" t="str">
        <x:v>https://doi.org/10.1007/s11432-024-4663-2</x:v>
      </x:c>
    </x:row>
    <x:row r="14">
      <x:c r="A14" s="29" t="n">
        <x:v>6</x:v>
      </x:c>
      <x:c r="B14" s="29" t="str">
        <x:v>wang2025gsafeguard</x:v>
      </x:c>
      <x:c r="C14" s="29" t="str">
        <x:v>G-Safeguard: A Topology-Guided Security Lens and Treatment on LLM-based Multi-agent Systems</x:v>
      </x:c>
      <x:c r="D14" s="29" t="str">
        <x:v>critical</x:v>
      </x:c>
      <x:c r="E14" s="29" t="str">
        <x:v>Primary category</x:v>
      </x:c>
      <x:c r="F14" s="29" t="str">
        <x:v>Change from attack to defense/evaluation with attack analysis as a secondary role.</x:v>
      </x:c>
      <x:c r="G14" s="29" t="str">
        <x:v>Ready after major patch</x:v>
      </x:c>
      <x:c r="H14" s="29" t="str">
        <x:v>https://aclanthology.org/2025.acl-long.359/</x:v>
      </x:c>
    </x:row>
    <x:row r="15">
      <x:c r="A15" s="29" t="n">
        <x:v>6</x:v>
      </x:c>
      <x:c r="B15" s="29" t="str">
        <x:v>wang2025gsafeguard</x:v>
      </x:c>
      <x:c r="C15" s="29" t="str">
        <x:v>G-Safeguard: A Topology-Guided Security Lens and Treatment on LLM-based Multi-agent Systems</x:v>
      </x:c>
      <x:c r="D15" s="29" t="str">
        <x:v>high</x:v>
      </x:c>
      <x:c r="E15" s="29" t="str">
        <x:v>Guarantee language</x:v>
      </x:c>
      <x:c r="F15" s="29" t="str">
        <x:v>Describe empirical recovery under evaluated assumptions, not a general security guarantee.</x:v>
      </x:c>
      <x:c r="G15" s="29" t="str">
        <x:v>Ready after major patch</x:v>
      </x:c>
      <x:c r="H15" s="29" t="str">
        <x:v>https://aclanthology.org/2025.acl-long.359/</x:v>
      </x:c>
    </x:row>
    <x:row r="16">
      <x:c r="A16" s="29" t="n">
        <x:v>6</x:v>
      </x:c>
      <x:c r="B16" s="29" t="str">
        <x:v>wang2025gsafeguard</x:v>
      </x:c>
      <x:c r="C16" s="29" t="str">
        <x:v>G-Safeguard: A Topology-Guided Security Lens and Treatment on LLM-based Multi-agent Systems</x:v>
      </x:c>
      <x:c r="D16" s="29" t="str">
        <x:v>high</x:v>
      </x:c>
      <x:c r="E16" s="29" t="str">
        <x:v>Observer assumptions</x:v>
      </x:c>
      <x:c r="F16" s="29" t="str">
        <x:v>Record complete or reconstructable utterance graph and topology-control authority.</x:v>
      </x:c>
      <x:c r="G16" s="29" t="str">
        <x:v>Ready after major patch</x:v>
      </x:c>
      <x:c r="H16" s="29" t="str">
        <x:v>https://aclanthology.org/2025.acl-long.359/</x:v>
      </x:c>
    </x:row>
    <x:row r="17">
      <x:c r="A17" s="29" t="n">
        <x:v>7</x:v>
      </x:c>
      <x:c r="B17" s="29" t="str">
        <x:v>yu2025netsafe</x:v>
      </x:c>
      <x:c r="C17" s="29" t="str">
        <x:v>NetSafe: Exploring the Topological Safety of Multi-agent System</x:v>
      </x:c>
      <x:c r="D17" s="29" t="str">
        <x:v>critical</x:v>
      </x:c>
      <x:c r="E17" s="29" t="str">
        <x:v>Primary category</x:v>
      </x:c>
      <x:c r="F17" s="29" t="str">
        <x:v>Change from attack to benchmark/evaluation.</x:v>
      </x:c>
      <x:c r="G17" s="29" t="str">
        <x:v>Ready after major patch</x:v>
      </x:c>
      <x:c r="H17" s="29" t="str">
        <x:v>https://aclanthology.org/2025.findings-acl.150/</x:v>
      </x:c>
    </x:row>
    <x:row r="18">
      <x:c r="A18" s="29" t="n">
        <x:v>7</x:v>
      </x:c>
      <x:c r="B18" s="29" t="str">
        <x:v>yu2025netsafe</x:v>
      </x:c>
      <x:c r="C18" s="29" t="str">
        <x:v>NetSafe: Exploring the Topological Safety of Multi-agent System</x:v>
      </x:c>
      <x:c r="D18" s="29" t="str">
        <x:v>critical</x:v>
      </x:c>
      <x:c r="E18" s="29" t="str">
        <x:v>Scope relation</x:v>
      </x:c>
      <x:c r="F18" s="29" t="str">
        <x:v>Use claim-level screening; paper-level core_security overstates broad safety and reliability content.</x:v>
      </x:c>
      <x:c r="G18" s="29" t="str">
        <x:v>Ready after major patch</x:v>
      </x:c>
      <x:c r="H18" s="29" t="str">
        <x:v>https://aclanthology.org/2025.findings-acl.150/</x:v>
      </x:c>
    </x:row>
    <x:row r="19">
      <x:c r="A19" s="29" t="n">
        <x:v>7</x:v>
      </x:c>
      <x:c r="B19" s="29" t="str">
        <x:v>yu2025netsafe</x:v>
      </x:c>
      <x:c r="C19" s="29" t="str">
        <x:v>NetSafe: Exploring the Topological Safety of Multi-agent System</x:v>
      </x:c>
      <x:c r="D19" s="29" t="str">
        <x:v>high</x:v>
      </x:c>
      <x:c r="E19" s="29" t="str">
        <x:v>Result wording</x:v>
      </x:c>
      <x:c r="F19" s="29" t="str">
        <x:v>Label 29.7% as a setting-specific relative performance decrease.</x:v>
      </x:c>
      <x:c r="G19" s="29" t="str">
        <x:v>Ready after major patch</x:v>
      </x:c>
      <x:c r="H19" s="29" t="str">
        <x:v>https://aclanthology.org/2025.findings-acl.150/</x:v>
      </x:c>
    </x:row>
    <x:row r="20">
      <x:c r="A20" s="29" t="n">
        <x:v>8</x:v>
      </x:c>
      <x:c r="B20" s="29" t="str">
        <x:v>zhou2026corba</x:v>
      </x:c>
      <x:c r="C20" s="29" t="str">
        <x:v>CORBA: Contagious Recursive Blocking Attacks on Multi-Agent Systems Based on Large Language Models</x:v>
      </x:c>
      <x:c r="D20" s="29" t="str">
        <x:v>high</x:v>
      </x:c>
      <x:c r="E20" s="29" t="str">
        <x:v>Primary failure</x:v>
      </x:c>
      <x:c r="F20" s="29" t="str">
        <x:v>Use availability/resource boundedness, not behavioral infection, as the primary failure.</x:v>
      </x:c>
      <x:c r="G20" s="29" t="str">
        <x:v>Ready after minor patch</x:v>
      </x:c>
      <x:c r="H20" s="29" t="str">
        <x:v>https://aclanthology.org/2026.findings-acl.342/</x:v>
      </x:c>
    </x:row>
    <x:row r="21">
      <x:c r="A21" s="29" t="n">
        <x:v>8</x:v>
      </x:c>
      <x:c r="B21" s="29" t="str">
        <x:v>zhou2026corba</x:v>
      </x:c>
      <x:c r="C21" s="29" t="str">
        <x:v>CORBA: Contagious Recursive Blocking Attacks on Multi-Agent Systems Based on Large Language Models</x:v>
      </x:c>
      <x:c r="D21" s="29" t="str">
        <x:v>high</x:v>
      </x:c>
      <x:c r="E21" s="29" t="str">
        <x:v>Metric denominator</x:v>
      </x:c>
      <x:c r="F21" s="29" t="str">
        <x:v>Record P-ASR explicitly as blocked agents over network population.</x:v>
      </x:c>
      <x:c r="G21" s="29" t="str">
        <x:v>Ready after minor patch</x:v>
      </x:c>
      <x:c r="H21" s="29" t="str">
        <x:v>https://aclanthology.org/2026.findings-acl.342/</x:v>
      </x:c>
    </x:row>
    <x:row r="22">
      <x:c r="A22" s="29" t="n">
        <x:v>8</x:v>
      </x:c>
      <x:c r="B22" s="29" t="str">
        <x:v>zhou2026corba</x:v>
      </x:c>
      <x:c r="C22" s="29" t="str">
        <x:v>CORBA: Contagious Recursive Blocking Attacks on Multi-Agent Systems Based on Large Language Models</x:v>
      </x:c>
      <x:c r="D22" s="29" t="str">
        <x:v>medium</x:v>
      </x:c>
      <x:c r="E22" s="29" t="str">
        <x:v>Cross-paper comparison</x:v>
      </x:c>
      <x:c r="F22" s="29" t="str">
        <x:v>Do not compare P-ASR directly with harmful-output ASR.</x:v>
      </x:c>
      <x:c r="G22" s="29" t="str">
        <x:v>Ready after minor patch</x:v>
      </x:c>
      <x:c r="H22" s="29" t="str">
        <x:v>https://aclanthology.org/2026.findings-acl.342/</x:v>
      </x:c>
    </x:row>
    <x:row r="23">
      <x:c r="A23" s="29" t="n">
        <x:v>9</x:v>
      </x:c>
      <x:c r="B23" s="29" t="str">
        <x:v>mathew2025hidden</x:v>
      </x:c>
      <x:c r="C23" s="29" t="str">
        <x:v>Hidden in Plain Text: Emergence and Mitigation of Steganographic Collusion in LLMs</x:v>
      </x:c>
      <x:c r="D23" s="29" t="str">
        <x:v>critical</x:v>
      </x:c>
      <x:c r="E23" s="29" t="str">
        <x:v>Primary category</x:v>
      </x:c>
      <x:c r="F23" s="29" t="str">
        <x:v>Change from attack to mixed security evaluation and attack/defense elicitation.</x:v>
      </x:c>
      <x:c r="G23" s="29" t="str">
        <x:v>Ready after major patch</x:v>
      </x:c>
      <x:c r="H23" s="29" t="str">
        <x:v>https://aclanthology.org/2025.ijcnlp-long.34/</x:v>
      </x:c>
    </x:row>
    <x:row r="24">
      <x:c r="A24" s="29" t="n">
        <x:v>9</x:v>
      </x:c>
      <x:c r="B24" s="29" t="str">
        <x:v>mathew2025hidden</x:v>
      </x:c>
      <x:c r="C24" s="29" t="str">
        <x:v>Hidden in Plain Text: Emergence and Mitigation of Steganographic Collusion in LLMs</x:v>
      </x:c>
      <x:c r="D24" s="29" t="str">
        <x:v>high</x:v>
      </x:c>
      <x:c r="E24" s="29" t="str">
        <x:v>Metric coding</x:v>
      </x:c>
      <x:c r="F24" s="29" t="str">
        <x:v>Store each collusion and oversight metric separately.</x:v>
      </x:c>
      <x:c r="G24" s="29" t="str">
        <x:v>Ready after major patch</x:v>
      </x:c>
      <x:c r="H24" s="29" t="str">
        <x:v>https://aclanthology.org/2025.ijcnlp-long.34/</x:v>
      </x:c>
    </x:row>
    <x:row r="25">
      <x:c r="A25" s="29" t="n">
        <x:v>9</x:v>
      </x:c>
      <x:c r="B25" s="29" t="str">
        <x:v>mathew2025hidden</x:v>
      </x:c>
      <x:c r="C25" s="29" t="str">
        <x:v>Hidden in Plain Text: Emergence and Mitigation of Steganographic Collusion in LLMs</x:v>
      </x:c>
      <x:c r="D25" s="29" t="str">
        <x:v>high</x:v>
      </x:c>
      <x:c r="E25" s="29" t="str">
        <x:v>Maturity wording</x:v>
      </x:c>
      <x:c r="F25" s="29" t="str">
        <x:v>Do not infer spontaneous real-world collusion prevalence or universal paraphrasing failure.</x:v>
      </x:c>
      <x:c r="G25" s="29" t="str">
        <x:v>Ready after major patch</x:v>
      </x:c>
      <x:c r="H25" s="29" t="str">
        <x:v>https://aclanthology.org/2025.ijcnlp-long.34/</x:v>
      </x:c>
    </x:row>
    <x:row r="26">
      <x:c r="A26" s="29" t="n">
        <x:v>10</x:v>
      </x:c>
      <x:c r="B26" s="29" t="str">
        <x:v>hu2026lying_truths</x:v>
      </x:c>
      <x:c r="C26" s="29" t="str">
        <x:v>Lying with Truths: Open-Channel Multi-Agent Collusion for Belief Manipulation via Generative Montage</x:v>
      </x:c>
      <x:c r="D26" s="29" t="str">
        <x:v>medium</x:v>
      </x:c>
      <x:c r="E26" s="29" t="str">
        <x:v>Mechanism label</x:v>
      </x:c>
      <x:c r="F26" s="29" t="str">
        <x:v>Do not label the channel covert or the fragments false; the novelty is public composition of individually true fragments.</x:v>
      </x:c>
      <x:c r="G26" s="29" t="str">
        <x:v>Ready after minor patch</x:v>
      </x:c>
      <x:c r="H26" s="29" t="str">
        <x:v>https://aclanthology.org/2026.acl-long.270/</x:v>
      </x:c>
    </x:row>
    <x:row r="27">
      <x:c r="A27" s="29" t="n">
        <x:v>10</x:v>
      </x:c>
      <x:c r="B27" s="29" t="str">
        <x:v>hu2026lying_truths</x:v>
      </x:c>
      <x:c r="C27" s="29" t="str">
        <x:v>Lying with Truths: Open-Channel Multi-Agent Collusion for Belief Manipulation via Generative Montage</x:v>
      </x:c>
      <x:c r="D27" s="29" t="str">
        <x:v>medium</x:v>
      </x:c>
      <x:c r="E27" s="29" t="str">
        <x:v>Evidence locator</x:v>
      </x:c>
      <x:c r="F27" s="29" t="str">
        <x:v>Tie ASR and downstream rates to the exact Sec. 5 tables and CoPHEME denominator.</x:v>
      </x:c>
      <x:c r="G27" s="29" t="str">
        <x:v>Ready after minor patch</x:v>
      </x:c>
      <x:c r="H27" s="29" t="str">
        <x:v>https://aclanthology.org/2026.acl-long.270/</x:v>
      </x:c>
    </x:row>
    <x:row r="28">
      <x:c r="A28" s="29" t="n">
        <x:v>11</x:v>
      </x:c>
      <x:c r="B28" s="29" t="str">
        <x:v>huang2026whispering_agents</x:v>
      </x:c>
      <x:c r="C28" s="29" t="str">
        <x:v>Whispering Agents: An Event-Driven Covert Communication Protocol for the Internet of Agents</x:v>
      </x:c>
      <x:c r="D28" s="29" t="str">
        <x:v>critical</x:v>
      </x:c>
      <x:c r="E28" s="29" t="str">
        <x:v>Primary category</x:v>
      </x:c>
      <x:c r="F28" s="29" t="str">
        <x:v>Change from attack to dual-use protocol/evaluation.</x:v>
      </x:c>
      <x:c r="G28" s="29" t="str">
        <x:v>Ready after major patch</x:v>
      </x:c>
      <x:c r="H28" s="29" t="str">
        <x:v>https://ojs.aaai.org/index.php/AAAI/article/view/40380</x:v>
      </x:c>
    </x:row>
    <x:row r="29">
      <x:c r="A29" s="29" t="n">
        <x:v>11</x:v>
      </x:c>
      <x:c r="B29" s="29" t="str">
        <x:v>huang2026whispering_agents</x:v>
      </x:c>
      <x:c r="C29" s="29" t="str">
        <x:v>Whispering Agents: An Event-Driven Covert Communication Protocol for the Internet of Agents</x:v>
      </x:c>
      <x:c r="D29" s="29" t="str">
        <x:v>high</x:v>
      </x:c>
      <x:c r="E29" s="29" t="str">
        <x:v>Scope relation</x:v>
      </x:c>
      <x:c r="F29" s="29" t="str">
        <x:v>Downgrade to security_relevant unless a claim explicitly uses the protocol for malicious coordination.</x:v>
      </x:c>
      <x:c r="G29" s="29" t="str">
        <x:v>Ready after major patch</x:v>
      </x:c>
      <x:c r="H29" s="29" t="str">
        <x:v>https://ojs.aaai.org/index.php/AAAI/article/view/40380</x:v>
      </x:c>
    </x:row>
    <x:row r="30">
      <x:c r="A30" s="29" t="n">
        <x:v>11</x:v>
      </x:c>
      <x:c r="B30" s="29" t="str">
        <x:v>huang2026whispering_agents</x:v>
      </x:c>
      <x:c r="C30" s="29" t="str">
        <x:v>Whispering Agents: An Event-Driven Covert Communication Protocol for the Internet of Agents</x:v>
      </x:c>
      <x:c r="D30" s="29" t="str">
        <x:v>medium</x:v>
      </x:c>
      <x:c r="E30" s="29" t="str">
        <x:v>Canonical title</x:v>
      </x:c>
      <x:c r="F30" s="29" t="str">
        <x:v>Use the PDF's grammatical title and record the OJS display discrepancy.</x:v>
      </x:c>
      <x:c r="G30" s="29" t="str">
        <x:v>Ready after major patch</x:v>
      </x:c>
      <x:c r="H30" s="29" t="str">
        <x:v>https://ojs.aaai.org/index.php/AAAI/article/view/40380</x:v>
      </x:c>
    </x:row>
    <x:row r="31">
      <x:c r="A31" s="29" t="n">
        <x:v>12</x:v>
      </x:c>
      <x:c r="B31" s="29" t="str">
        <x:v>wang2026masleak</x:v>
      </x:c>
      <x:c r="C31" s="29" t="str">
        <x:v>MASLeak: Investigating and Exposing Intellectual Property Leakage Vulnerabilities in Multi-Agent Systems</x:v>
      </x:c>
      <x:c r="D31" s="29" t="str">
        <x:v>high</x:v>
      </x:c>
      <x:c r="E31" s="29" t="str">
        <x:v>Version linkage</x:v>
      </x:c>
      <x:c r="F31" s="29" t="str">
        <x:v>Use USENIX title as canonical and link the arXiv title as a prior or expanded version.</x:v>
      </x:c>
      <x:c r="G31" s="29" t="str">
        <x:v>Ready after minor patch</x:v>
      </x:c>
      <x:c r="H31" s="29" t="str">
        <x:v>https://www.usenix.org/conference/usenixsecurity26/presentation/wang-liwen</x:v>
      </x:c>
    </x:row>
    <x:row r="32">
      <x:c r="A32" s="29" t="n">
        <x:v>12</x:v>
      </x:c>
      <x:c r="B32" s="29" t="str">
        <x:v>wang2026masleak</x:v>
      </x:c>
      <x:c r="C32" s="29" t="str">
        <x:v>MASLeak: Investigating and Exposing Intellectual Property Leakage Vulnerabilities in Multi-Agent Systems</x:v>
      </x:c>
      <x:c r="D32" s="29" t="str">
        <x:v>high</x:v>
      </x:c>
      <x:c r="E32" s="29" t="str">
        <x:v>Open access</x:v>
      </x:c>
      <x:c r="F32" s="29" t="str">
        <x:v>Add the arXiv PDF as the open-access URL.</x:v>
      </x:c>
      <x:c r="G32" s="29" t="str">
        <x:v>Ready after minor patch</x:v>
      </x:c>
      <x:c r="H32" s="29" t="str">
        <x:v>https://www.usenix.org/conference/usenixsecurity26/presentation/wang-liwen</x:v>
      </x:c>
    </x:row>
    <x:row r="33">
      <x:c r="A33" s="29" t="n">
        <x:v>12</x:v>
      </x:c>
      <x:c r="B33" s="29" t="str">
        <x:v>wang2026masleak</x:v>
      </x:c>
      <x:c r="C33" s="29" t="str">
        <x:v>MASLeak: Investigating and Exposing Intellectual Property Leakage Vulnerabilities in Multi-Agent Systems</x:v>
      </x:c>
      <x:c r="D33" s="29" t="str">
        <x:v>high</x:v>
      </x:c>
      <x:c r="E33" s="29" t="str">
        <x:v>Metric denominator</x:v>
      </x:c>
      <x:c r="F33" s="29" t="str">
        <x:v>Do not treat ER or all component results as one ASR.</x:v>
      </x:c>
      <x:c r="G33" s="29" t="str">
        <x:v>Ready after minor patch</x:v>
      </x:c>
      <x:c r="H33" s="29" t="str">
        <x:v>https://www.usenix.org/conference/usenixsecurity26/presentation/wang-liwen</x:v>
      </x:c>
    </x:row>
    <x:row r="34">
      <x:c r="A34" s="29" t="n">
        <x:v>13</x:v>
      </x:c>
      <x:c r="B34" s="29" t="str">
        <x:v>liu2026topology_memory</x:v>
      </x:c>
      <x:c r="C34" s="29" t="str">
        <x:v>Topology Matters: Measuring Memory Leakage in Multi-Agent LLMs</x:v>
      </x:c>
      <x:c r="D34" s="29" t="str">
        <x:v>critical</x:v>
      </x:c>
      <x:c r="E34" s="29" t="str">
        <x:v>Primary category</x:v>
      </x:c>
      <x:c r="F34" s="29" t="str">
        <x:v>Change from attack to benchmark/evaluation with an attack study role.</x:v>
      </x:c>
      <x:c r="G34" s="29" t="str">
        <x:v>Ready after major patch</x:v>
      </x:c>
      <x:c r="H34" s="29" t="str">
        <x:v>https://aclanthology.org/2026.findings-acl.1980/</x:v>
      </x:c>
    </x:row>
    <x:row r="35">
      <x:c r="A35" s="29" t="n">
        <x:v>13</x:v>
      </x:c>
      <x:c r="B35" s="29" t="str">
        <x:v>liu2026topology_memory</x:v>
      </x:c>
      <x:c r="C35" s="29" t="str">
        <x:v>Topology Matters: Measuring Memory Leakage in Multi-Agent LLMs</x:v>
      </x:c>
      <x:c r="D35" s="29" t="str">
        <x:v>high</x:v>
      </x:c>
      <x:c r="E35" s="29" t="str">
        <x:v>Metric denominator</x:v>
      </x:c>
      <x:c r="F35" s="29" t="str">
        <x:v>Store exact-match and LLM-inference leakage definitions and seeded-entity denominator.</x:v>
      </x:c>
      <x:c r="G35" s="29" t="str">
        <x:v>Ready after major patch</x:v>
      </x:c>
      <x:c r="H35" s="29" t="str">
        <x:v>https://aclanthology.org/2026.findings-acl.1980/</x:v>
      </x:c>
    </x:row>
    <x:row r="36">
      <x:c r="A36" s="29" t="n">
        <x:v>13</x:v>
      </x:c>
      <x:c r="B36" s="29" t="str">
        <x:v>liu2026topology_memory</x:v>
      </x:c>
      <x:c r="C36" s="29" t="str">
        <x:v>Topology Matters: Measuring Memory Leakage in Multi-Agent LLMs</x:v>
      </x:c>
      <x:c r="D36" s="29" t="str">
        <x:v>medium</x:v>
      </x:c>
      <x:c r="E36" s="29" t="str">
        <x:v>Generalization</x:v>
      </x:c>
      <x:c r="F36" s="29" t="str">
        <x:v>Do not state a universal topology ranking across models.</x:v>
      </x:c>
      <x:c r="G36" s="29" t="str">
        <x:v>Ready after major patch</x:v>
      </x:c>
      <x:c r="H36" s="29" t="str">
        <x:v>https://aclanthology.org/2026.findings-acl.1980/</x:v>
      </x:c>
    </x:row>
    <x:row r="37">
      <x:c r="A37" s="29" t="n">
        <x:v>14</x:v>
      </x:c>
      <x:c r="B37" s="29" t="str">
        <x:v>he2025communication_attacks</x:v>
      </x:c>
      <x:c r="C37" s="29" t="str">
        <x:v>Red-Teaming LLM Multi-Agent Systems via Communication Attacks</x:v>
      </x:c>
      <x:c r="D37" s="29" t="str">
        <x:v>high</x:v>
      </x:c>
      <x:c r="E37" s="29" t="str">
        <x:v>Metric denominator</x:v>
      </x:c>
      <x:c r="F37" s="29" t="str">
        <x:v>Record ASR as whole-dataset task-level success with separate targeted and denial-of-service predicates.</x:v>
      </x:c>
      <x:c r="G37" s="29" t="str">
        <x:v>Ready after minor patch</x:v>
      </x:c>
      <x:c r="H37" s="29" t="str">
        <x:v>https://aclanthology.org/2025.findings-acl.349/</x:v>
      </x:c>
    </x:row>
    <x:row r="38">
      <x:c r="A38" s="29" t="n">
        <x:v>14</x:v>
      </x:c>
      <x:c r="B38" s="29" t="str">
        <x:v>he2025communication_attacks</x:v>
      </x:c>
      <x:c r="C38" s="29" t="str">
        <x:v>Red-Teaming LLM Multi-Agent Systems via Communication Attacks</x:v>
      </x:c>
      <x:c r="D38" s="29" t="str">
        <x:v>medium</x:v>
      </x:c>
      <x:c r="E38" s="29" t="str">
        <x:v>Failure versus impact</x:v>
      </x:c>
      <x:c r="F38" s="29" t="str">
        <x:v>Use message integrity as primary and collective task corruption as downstream impact.</x:v>
      </x:c>
      <x:c r="G38" s="29" t="str">
        <x:v>Ready after minor patch</x:v>
      </x:c>
      <x:c r="H38" s="29" t="str">
        <x:v>https://aclanthology.org/2025.findings-acl.349/</x:v>
      </x:c>
    </x:row>
    <x:row r="39">
      <x:c r="A39" s="29" t="n">
        <x:v>14</x:v>
      </x:c>
      <x:c r="B39" s="29" t="str">
        <x:v>he2025communication_attacks</x:v>
      </x:c>
      <x:c r="C39" s="29" t="str">
        <x:v>Red-Teaming LLM Multi-Agent Systems via Communication Attacks</x:v>
      </x:c>
      <x:c r="D39" s="29" t="str">
        <x:v>medium</x:v>
      </x:c>
      <x:c r="E39" s="29" t="str">
        <x:v>Assumption</x:v>
      </x:c>
      <x:c r="F39" s="29" t="str">
        <x:v>Explicitly record lack of authenticated or integrity-protected channels.</x:v>
      </x:c>
      <x:c r="G39" s="29" t="str">
        <x:v>Ready after minor patch</x:v>
      </x:c>
      <x:c r="H39" s="29" t="str">
        <x:v>https://aclanthology.org/2025.findings-acl.349/</x:v>
      </x:c>
    </x:row>
    <x:row r="40">
      <x:c r="A40" s="29" t="n">
        <x:v>15</x:v>
      </x:c>
      <x:c r="B40" s="29" t="str">
        <x:v>liu2025collective_manipulation</x:v>
      </x:c>
      <x:c r="C40" s="29" t="str">
        <x:v>Can an Individual Manipulate the Collective Decisions of Multi-Agents?</x:v>
      </x:c>
      <x:c r="D40" s="29" t="str">
        <x:v>high</x:v>
      </x:c>
      <x:c r="E40" s="29" t="str">
        <x:v>Metric definition</x:v>
      </x:c>
      <x:c r="F40" s="29" t="str">
        <x:v>Store targeted and untargeted collective predicates exactly.</x:v>
      </x:c>
      <x:c r="G40" s="29" t="str">
        <x:v>Ready after minor patch</x:v>
      </x:c>
      <x:c r="H40" s="29" t="str">
        <x:v>https://aclanthology.org/2025.emnlp-main.611/</x:v>
      </x:c>
    </x:row>
    <x:row r="41">
      <x:c r="A41" s="29" t="n">
        <x:v>15</x:v>
      </x:c>
      <x:c r="B41" s="29" t="str">
        <x:v>liu2025collective_manipulation</x:v>
      </x:c>
      <x:c r="C41" s="29" t="str">
        <x:v>Can an Individual Manipulate the Collective Decisions of Multi-Agents?</x:v>
      </x:c>
      <x:c r="D41" s="29" t="str">
        <x:v>high</x:v>
      </x:c>
      <x:c r="E41" s="29" t="str">
        <x:v>BFT boundary</x:v>
      </x:c>
      <x:c r="F41" s="29" t="str">
        <x:v>Do not describe this as Byzantine agreement or a fault-threshold result.</x:v>
      </x:c>
      <x:c r="G41" s="29" t="str">
        <x:v>Ready after minor patch</x:v>
      </x:c>
      <x:c r="H41" s="29" t="str">
        <x:v>https://aclanthology.org/2025.emnlp-main.611/</x:v>
      </x:c>
    </x:row>
    <x:row r="42">
      <x:c r="A42" s="29" t="n">
        <x:v>15</x:v>
      </x:c>
      <x:c r="B42" s="29" t="str">
        <x:v>liu2025collective_manipulation</x:v>
      </x:c>
      <x:c r="C42" s="29" t="str">
        <x:v>Can an Individual Manipulate the Collective Decisions of Multi-Agents?</x:v>
      </x:c>
      <x:c r="D42" s="29" t="str">
        <x:v>medium</x:v>
      </x:c>
      <x:c r="E42" s="29" t="str">
        <x:v>Scale</x:v>
      </x:c>
      <x:c r="F42" s="29" t="str">
        <x:v>Record the up-to-101-agent result with its specific task and aggregation assumptions.</x:v>
      </x:c>
      <x:c r="G42" s="29" t="str">
        <x:v>Ready after minor patch</x:v>
      </x:c>
      <x:c r="H42" s="29" t="str">
        <x:v>https://aclanthology.org/2025.emnlp-main.611/</x:v>
      </x:c>
    </x:row>
    <x:row r="43">
      <x:c r="A43" s="29" t="n">
        <x:v>16</x:v>
      </x:c>
      <x:c r="B43" s="29" t="str">
        <x:v>zheng2026byzantine_reliability</x:v>
      </x:c>
      <x:c r="C43" s="29" t="str">
        <x:v>Rethinking the Reliability of Multi-agent System: A Perspective from Byzantine Fault Tolerance</x:v>
      </x:c>
      <x:c r="D43" s="29" t="str">
        <x:v>critical</x:v>
      </x:c>
      <x:c r="E43" s="29" t="str">
        <x:v>Primary category</x:v>
      </x:c>
      <x:c r="F43" s="29" t="str">
        <x:v>Change from attack to defense/evaluation/fault study.</x:v>
      </x:c>
      <x:c r="G43" s="29" t="str">
        <x:v>Ready after major patch</x:v>
      </x:c>
      <x:c r="H43" s="29" t="str">
        <x:v>https://ojs.aaai.org/index.php/AAAI/article/view/40806</x:v>
      </x:c>
    </x:row>
    <x:row r="44">
      <x:c r="A44" s="29" t="n">
        <x:v>16</x:v>
      </x:c>
      <x:c r="B44" s="29" t="str">
        <x:v>zheng2026byzantine_reliability</x:v>
      </x:c>
      <x:c r="C44" s="29" t="str">
        <x:v>Rethinking the Reliability of Multi-agent System: A Perspective from Byzantine Fault Tolerance</x:v>
      </x:c>
      <x:c r="D44" s="29" t="str">
        <x:v>critical</x:v>
      </x:c>
      <x:c r="E44" s="29" t="str">
        <x:v>BFT claim</x:v>
      </x:c>
      <x:c r="F44" s="29" t="str">
        <x:v>Do not describe 6 of 7 task accuracy as robustness beyond the classical BFT ceiling.</x:v>
      </x:c>
      <x:c r="G44" s="29" t="str">
        <x:v>Ready after major patch</x:v>
      </x:c>
      <x:c r="H44" s="29" t="str">
        <x:v>https://ojs.aaai.org/index.php/AAAI/article/view/40806</x:v>
      </x:c>
    </x:row>
    <x:row r="45">
      <x:c r="A45" s="29" t="n">
        <x:v>16</x:v>
      </x:c>
      <x:c r="B45" s="29" t="str">
        <x:v>zheng2026byzantine_reliability</x:v>
      </x:c>
      <x:c r="C45" s="29" t="str">
        <x:v>Rethinking the Reliability of Multi-agent System: A Perspective from Byzantine Fault Tolerance</x:v>
      </x:c>
      <x:c r="D45" s="29" t="str">
        <x:v>medium</x:v>
      </x:c>
      <x:c r="E45" s="29" t="str">
        <x:v>Canonical title</x:v>
      </x:c>
      <x:c r="F45" s="29" t="str">
        <x:v>Use singular 'System' as in the official paper.</x:v>
      </x:c>
      <x:c r="G45" s="29" t="str">
        <x:v>Ready after major patch</x:v>
      </x:c>
      <x:c r="H45" s="29" t="str">
        <x:v>https://ojs.aaai.org/index.php/AAAI/article/view/40806</x:v>
      </x:c>
    </x:row>
    <x:row r="46">
      <x:c r="A46" s="29" t="n">
        <x:v>17</x:v>
      </x:c>
      <x:c r="B46" s="29" t="str">
        <x:v>triedman2025malicious_code</x:v>
      </x:c>
      <x:c r="C46" s="29" t="str">
        <x:v>Multi-Agent Systems Execute Arbitrary Malicious Code</x:v>
      </x:c>
      <x:c r="D46" s="29" t="str">
        <x:v>high</x:v>
      </x:c>
      <x:c r="E46" s="29" t="str">
        <x:v>Result evidence</x:v>
      </x:c>
      <x:c r="F46" s="29" t="str">
        <x:v>Attach each success rate to the exact framework/model table; avoid a single generalized rate.</x:v>
      </x:c>
      <x:c r="G46" s="29" t="str">
        <x:v>Ready after minor patch</x:v>
      </x:c>
      <x:c r="H46" s="29" t="str">
        <x:v>https://openreview.net/forum?id=DAozI4etUp</x:v>
      </x:c>
    </x:row>
    <x:row r="47">
      <x:c r="A47" s="29" t="n">
        <x:v>17</x:v>
      </x:c>
      <x:c r="B47" s="29" t="str">
        <x:v>triedman2025malicious_code</x:v>
      </x:c>
      <x:c r="C47" s="29" t="str">
        <x:v>Multi-Agent Systems Execute Arbitrary Malicious Code</x:v>
      </x:c>
      <x:c r="D47" s="29" t="str">
        <x:v>medium</x:v>
      </x:c>
      <x:c r="E47" s="29" t="str">
        <x:v>Failure versus impact</x:v>
      </x:c>
      <x:c r="F47" s="29" t="str">
        <x:v>Use authority/control-flow integrity as the failure and RCE or exfiltration as impact.</x:v>
      </x:c>
      <x:c r="G47" s="29" t="str">
        <x:v>Ready after minor patch</x:v>
      </x:c>
      <x:c r="H47" s="29" t="str">
        <x:v>https://openreview.net/forum?id=DAozI4etUp</x:v>
      </x:c>
    </x:row>
    <x:row r="48">
      <x:c r="A48" s="29" t="n">
        <x:v>18</x:v>
      </x:c>
      <x:c r="B48" s="29" t="str">
        <x:v>arif2026conjunctive</x:v>
      </x:c>
      <x:c r="C48" s="29" t="str">
        <x:v>Conjunctive Prompt Attacks in Multi-Agent LLM Systems</x:v>
      </x:c>
      <x:c r="D48" s="29" t="str">
        <x:v>critical</x:v>
      </x:c>
      <x:c r="E48" s="29" t="str">
        <x:v>Primary failure</x:v>
      </x:c>
      <x:c r="F48" s="29" t="str">
        <x:v>Use F3 context/action integrity as primary unless the source explicitly demonstrates privilege escalation.</x:v>
      </x:c>
      <x:c r="G48" s="29" t="str">
        <x:v>Ready after major patch</x:v>
      </x:c>
      <x:c r="H48" s="29" t="str">
        <x:v>https://aclanthology.org/2026.acl-long.1577/</x:v>
      </x:c>
    </x:row>
    <x:row r="49">
      <x:c r="A49" s="29" t="n">
        <x:v>18</x:v>
      </x:c>
      <x:c r="B49" s="29" t="str">
        <x:v>arif2026conjunctive</x:v>
      </x:c>
      <x:c r="C49" s="29" t="str">
        <x:v>Conjunctive Prompt Attacks in Multi-Agent LLM Systems</x:v>
      </x:c>
      <x:c r="D49" s="29" t="str">
        <x:v>high</x:v>
      </x:c>
      <x:c r="E49" s="29" t="str">
        <x:v>Baseline coding</x:v>
      </x:c>
      <x:c r="F49" s="29" t="str">
        <x:v>Record clean, key-only, template-only, and both-fragment controls separately.</x:v>
      </x:c>
      <x:c r="G49" s="29" t="str">
        <x:v>Ready after major patch</x:v>
      </x:c>
      <x:c r="H49" s="29" t="str">
        <x:v>https://aclanthology.org/2026.acl-long.1577/</x:v>
      </x:c>
    </x:row>
    <x:row r="50">
      <x:c r="A50" s="29" t="n">
        <x:v>18</x:v>
      </x:c>
      <x:c r="B50" s="29" t="str">
        <x:v>arif2026conjunctive</x:v>
      </x:c>
      <x:c r="C50" s="29" t="str">
        <x:v>Conjunctive Prompt Attacks in Multi-Agent LLM Systems</x:v>
      </x:c>
      <x:c r="D50" s="29" t="str">
        <x:v>medium</x:v>
      </x:c>
      <x:c r="E50" s="29" t="str">
        <x:v>Metric evidence</x:v>
      </x:c>
      <x:c r="F50" s="29" t="str">
        <x:v>Tie ASR and false activation to exact topology tables.</x:v>
      </x:c>
      <x:c r="G50" s="29" t="str">
        <x:v>Ready after major patch</x:v>
      </x:c>
      <x:c r="H50" s="29" t="str">
        <x:v>https://aclanthology.org/2026.acl-long.1577/</x:v>
      </x:c>
    </x:row>
    <x:row r="51">
      <x:c r="A51" s="29" t="n">
        <x:v>19</x:v>
      </x:c>
      <x:c r="B51" s="29" t="str">
        <x:v>zhao2026parasites</x:v>
      </x:c>
      <x:c r="C51" s="29" t="str">
        <x:v>Parasites in the Toolchain: A Large-Scale Analysis of Attacks on the MCP Ecosystem</x:v>
      </x:c>
      <x:c r="D51" s="29" t="str">
        <x:v>critical</x:v>
      </x:c>
      <x:c r="E51" s="29" t="str">
        <x:v>Publication metadata</x:v>
      </x:c>
      <x:c r="F51" s="29" t="str">
        <x:v>Record final IEEE S&amp;P venue, DOI, and page range; retain arXiv as linked version.</x:v>
      </x:c>
      <x:c r="G51" s="29" t="str">
        <x:v>Ready after major patch</x:v>
      </x:c>
      <x:c r="H51" s="29" t="str">
        <x:v>https://arxiv.org/abs/2509.06572</x:v>
      </x:c>
    </x:row>
    <x:row r="52">
      <x:c r="A52" s="29" t="n">
        <x:v>19</x:v>
      </x:c>
      <x:c r="B52" s="29" t="str">
        <x:v>zhao2026parasites</x:v>
      </x:c>
      <x:c r="C52" s="29" t="str">
        <x:v>Parasites in the Toolchain: A Large-Scale Analysis of Attacks on the MCP Ecosystem</x:v>
      </x:c>
      <x:c r="D52" s="29" t="str">
        <x:v>critical</x:v>
      </x:c>
      <x:c r="E52" s="29" t="str">
        <x:v>Scope relation</x:v>
      </x:c>
      <x:c r="F52" s="29" t="str">
        <x:v>Downgrade from core_security to security_relevant under the independent-agent-core definition.</x:v>
      </x:c>
      <x:c r="G52" s="29" t="str">
        <x:v>Ready after major patch</x:v>
      </x:c>
      <x:c r="H52" s="29" t="str">
        <x:v>https://arxiv.org/abs/2509.06572</x:v>
      </x:c>
    </x:row>
    <x:row r="53">
      <x:c r="A53" s="29" t="n">
        <x:v>19</x:v>
      </x:c>
      <x:c r="B53" s="29" t="str">
        <x:v>zhao2026parasites</x:v>
      </x:c>
      <x:c r="C53" s="29" t="str">
        <x:v>Parasites in the Toolchain: A Large-Scale Analysis of Attacks on the MCP Ecosystem</x:v>
      </x:c>
      <x:c r="D53" s="29" t="str">
        <x:v>high</x:v>
      </x:c>
      <x:c r="E53" s="29" t="str">
        <x:v>Result interpretation</x:v>
      </x:c>
      <x:c r="F53" s="29" t="str">
        <x:v>Separate capability-gadget prevalence from successful exploitation.</x:v>
      </x:c>
      <x:c r="G53" s="29" t="str">
        <x:v>Ready after major patch</x:v>
      </x:c>
      <x:c r="H53" s="29" t="str">
        <x:v>https://arxiv.org/abs/2509.06572</x:v>
      </x:c>
    </x:row>
    <x:row r="54">
      <x:c r="A54" s="29" t="n">
        <x:v>20</x:v>
      </x:c>
      <x:c r="B54" s="29" t="str">
        <x:v>li2026a2asecbench</x:v>
      </x:c>
      <x:c r="C54" s="29" t="str">
        <x:v>A2ASecBench: A Protocol-Aware Security Benchmark for Agent-to-Agent Multi-Agent Systems</x:v>
      </x:c>
      <x:c r="D54" s="29" t="str">
        <x:v>critical</x:v>
      </x:c>
      <x:c r="E54" s="29" t="str">
        <x:v>Primary category</x:v>
      </x:c>
      <x:c r="F54" s="29" t="str">
        <x:v>Change from attack to benchmark/evaluation with an attack-suite role.</x:v>
      </x:c>
      <x:c r="G54" s="29" t="str">
        <x:v>Pending exact full-text verification</x:v>
      </x:c>
      <x:c r="H54" s="29" t="str">
        <x:v>https://iclr.cc/virtual/2026/poster/10010017</x:v>
      </x:c>
    </x:row>
    <x:row r="55">
      <x:c r="A55" s="29" t="n">
        <x:v>20</x:v>
      </x:c>
      <x:c r="B55" s="29" t="str">
        <x:v>li2026a2asecbench</x:v>
      </x:c>
      <x:c r="C55" s="29" t="str">
        <x:v>A2ASecBench: A Protocol-Aware Security Benchmark for Agent-to-Agent Multi-Agent Systems</x:v>
      </x:c>
      <x:c r="D55" s="29" t="str">
        <x:v>critical</x:v>
      </x:c>
      <x:c r="E55" s="29" t="str">
        <x:v>Evidence locators</x:v>
      </x:c>
      <x:c r="F55" s="29" t="str">
        <x:v>Obtain the final PDF and record exact page, figure, and table locations before manuscript use.</x:v>
      </x:c>
      <x:c r="G55" s="29" t="str">
        <x:v>Pending exact full-text verification</x:v>
      </x:c>
      <x:c r="H55" s="29" t="str">
        <x:v>https://iclr.cc/virtual/2026/poster/10010017</x:v>
      </x:c>
    </x:row>
    <x:row r="56">
      <x:c r="A56" s="29" t="n">
        <x:v>20</x:v>
      </x:c>
      <x:c r="B56" s="29" t="str">
        <x:v>li2026a2asecbench</x:v>
      </x:c>
      <x:c r="C56" s="29" t="str">
        <x:v>A2ASecBench: A Protocol-Aware Security Benchmark for Agent-to-Agent Multi-Agent Systems</x:v>
      </x:c>
      <x:c r="D56" s="29" t="str">
        <x:v>high</x:v>
      </x:c>
      <x:c r="E56" s="29" t="str">
        <x:v>Metric denominator</x:v>
      </x:c>
      <x:c r="F56" s="29" t="str">
        <x:v>Use release-case counts and matched-control denominators, then reconcile them with the paper tables.</x:v>
      </x:c>
      <x:c r="G56" s="29" t="str">
        <x:v>Pending exact full-text verification</x:v>
      </x:c>
      <x:c r="H56" s="29" t="str">
        <x:v>https://iclr.cc/virtual/2026/poster/10010017</x:v>
      </x:c>
    </x:row>
  </x:sheetData>
  <x:conditionalFormatting sqref="D2:D56">
    <x:cfRule type="expression" dxfId="3" priority="1">
      <x:formula>$D2="critical"</x:formula>
    </x:cfRule>
    <x:cfRule type="expression" dxfId="4" priority="2">
      <x:formula>$D2="high"</x:formula>
    </x:cfRule>
    <x:cfRule type="expression" dxfId="5" priority="3">
      <x:formula>$D2="medium"</x:formula>
    </x:cfRule>
  </x:conditionalFormatting>
  <x:pageMargins left="0.7" right="0.7" top="0.75" bottom="0.75" header="0.3" footer="0.3"/>
</x:worksheet>
</file>